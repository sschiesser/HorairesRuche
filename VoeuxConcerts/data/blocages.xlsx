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chies1\_code\1.09_VScode\06_VoeuxConcerts\data\"/>
    </mc:Choice>
  </mc:AlternateContent>
  <xr:revisionPtr revIDLastSave="0" documentId="13_ncr:1_{E58A1230-A952-40F0-89CC-FA4D05BF93FD}" xr6:coauthVersionLast="47" xr6:coauthVersionMax="47" xr10:uidLastSave="{00000000-0000-0000-0000-000000000000}"/>
  <bookViews>
    <workbookView xWindow="-103" yWindow="-103" windowWidth="22149" windowHeight="13200" activeTab="6" xr2:uid="{00000000-000D-0000-FFFF-FFFF00000000}"/>
  </bookViews>
  <sheets>
    <sheet name="Mardi" sheetId="1" r:id="rId1"/>
    <sheet name="Mercredi" sheetId="2" r:id="rId2"/>
    <sheet name="Jeudi" sheetId="3" r:id="rId3"/>
    <sheet name="Vendredi" sheetId="4" r:id="rId4"/>
    <sheet name="Samedi" sheetId="5" r:id="rId5"/>
    <sheet name="Dimanche" sheetId="6" r:id="rId6"/>
    <sheet name="gSheet" sheetId="8" r:id="rId7"/>
    <sheet name="Concerts" sheetId="7" state="hidden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/>
  <c r="J23" i="1" a="1"/>
  <c r="J23" i="1" s="1"/>
  <c r="J24" i="1" a="1"/>
  <c r="J24" i="1" s="1"/>
  <c r="J25" i="1" a="1"/>
  <c r="J25" i="1" s="1"/>
  <c r="J26" i="1" a="1"/>
  <c r="J26" i="1" s="1"/>
  <c r="J27" i="1" a="1"/>
  <c r="J27" i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/>
  <c r="J46" i="1" a="1"/>
  <c r="J46" i="1"/>
  <c r="J47" i="1" a="1"/>
  <c r="J47" i="1" s="1"/>
  <c r="J48" i="1" a="1"/>
  <c r="J48" i="1" s="1"/>
  <c r="J49" i="1" a="1"/>
  <c r="J49" i="1" s="1"/>
  <c r="J50" i="1" a="1"/>
  <c r="J50" i="1" s="1"/>
  <c r="J51" i="1" a="1"/>
  <c r="J51" i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2" i="1" a="1"/>
  <c r="J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/>
  <c r="G18" i="1" a="1"/>
  <c r="G18" i="1" s="1"/>
  <c r="G19" i="1" a="1"/>
  <c r="G19" i="1" s="1"/>
  <c r="G20" i="1" a="1"/>
  <c r="G20" i="1" s="1"/>
  <c r="G21" i="1" a="1"/>
  <c r="G21" i="1"/>
  <c r="G22" i="1" a="1"/>
  <c r="G22" i="1" s="1"/>
  <c r="G23" i="1" a="1"/>
  <c r="G23" i="1" s="1"/>
  <c r="G24" i="1" a="1"/>
  <c r="G24" i="1" s="1"/>
  <c r="G25" i="1" a="1"/>
  <c r="G25" i="1" s="1"/>
  <c r="G26" i="1" a="1"/>
  <c r="G26" i="1"/>
  <c r="G27" i="1" a="1"/>
  <c r="G27" i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/>
  <c r="G35" i="1" a="1"/>
  <c r="G35" i="1" s="1"/>
  <c r="G36" i="1" a="1"/>
  <c r="G36" i="1" s="1"/>
  <c r="G37" i="1" a="1"/>
  <c r="G37" i="1"/>
  <c r="G38" i="1" a="1"/>
  <c r="G38" i="1" s="1"/>
  <c r="G39" i="1" a="1"/>
  <c r="G39" i="1" s="1"/>
  <c r="G40" i="1" a="1"/>
  <c r="G40" i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2" i="1" a="1"/>
  <c r="G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2" i="1" a="1"/>
  <c r="D2" i="1" s="1"/>
  <c r="D2" i="2" a="1"/>
  <c r="D2" i="2" s="1"/>
  <c r="J63" i="6" a="1"/>
  <c r="J63" i="6" s="1"/>
  <c r="J62" i="6" a="1"/>
  <c r="J62" i="6" s="1"/>
  <c r="J61" i="6" a="1"/>
  <c r="J61" i="6" s="1"/>
  <c r="J60" i="6" a="1"/>
  <c r="J60" i="6" s="1"/>
  <c r="J59" i="6"/>
  <c r="J59" i="6" a="1"/>
  <c r="J58" i="6" a="1"/>
  <c r="J58" i="6" s="1"/>
  <c r="J57" i="6" a="1"/>
  <c r="J57" i="6" s="1"/>
  <c r="J56" i="6" a="1"/>
  <c r="J56" i="6" s="1"/>
  <c r="J55" i="6" a="1"/>
  <c r="J55" i="6" s="1"/>
  <c r="J54" i="6" a="1"/>
  <c r="J54" i="6" s="1"/>
  <c r="J53" i="6" a="1"/>
  <c r="J53" i="6" s="1"/>
  <c r="J52" i="6" a="1"/>
  <c r="J52" i="6" s="1"/>
  <c r="J51" i="6" a="1"/>
  <c r="J51" i="6" s="1"/>
  <c r="J50" i="6" a="1"/>
  <c r="J50" i="6" s="1"/>
  <c r="J49" i="6" a="1"/>
  <c r="J49" i="6" s="1"/>
  <c r="J48" i="6"/>
  <c r="J48" i="6" a="1"/>
  <c r="J47" i="6" a="1"/>
  <c r="J47" i="6" s="1"/>
  <c r="J46" i="6" a="1"/>
  <c r="J46" i="6" s="1"/>
  <c r="J45" i="6" a="1"/>
  <c r="J45" i="6" s="1"/>
  <c r="J44" i="6" a="1"/>
  <c r="J44" i="6" s="1"/>
  <c r="J43" i="6" a="1"/>
  <c r="J43" i="6" s="1"/>
  <c r="J42" i="6" a="1"/>
  <c r="J42" i="6" s="1"/>
  <c r="J41" i="6" a="1"/>
  <c r="J41" i="6" s="1"/>
  <c r="J40" i="6" a="1"/>
  <c r="J40" i="6" s="1"/>
  <c r="J39" i="6" a="1"/>
  <c r="J39" i="6" s="1"/>
  <c r="J38" i="6" a="1"/>
  <c r="J38" i="6" s="1"/>
  <c r="J37" i="6"/>
  <c r="J37" i="6" a="1"/>
  <c r="J36" i="6" a="1"/>
  <c r="J36" i="6" s="1"/>
  <c r="J35" i="6" a="1"/>
  <c r="J35" i="6" s="1"/>
  <c r="J34" i="6" a="1"/>
  <c r="J34" i="6" s="1"/>
  <c r="J33" i="6" a="1"/>
  <c r="J33" i="6" s="1"/>
  <c r="J32" i="6" a="1"/>
  <c r="J32" i="6" s="1"/>
  <c r="J31" i="6" a="1"/>
  <c r="J31" i="6" s="1"/>
  <c r="J30" i="6" a="1"/>
  <c r="J30" i="6" s="1"/>
  <c r="J29" i="6" a="1"/>
  <c r="J29" i="6" s="1"/>
  <c r="J28" i="6" a="1"/>
  <c r="J28" i="6" s="1"/>
  <c r="J27" i="6" a="1"/>
  <c r="J27" i="6" s="1"/>
  <c r="J26" i="6"/>
  <c r="J26" i="6" a="1"/>
  <c r="J25" i="6" a="1"/>
  <c r="J25" i="6" s="1"/>
  <c r="J24" i="6" a="1"/>
  <c r="J24" i="6" s="1"/>
  <c r="J23" i="6" a="1"/>
  <c r="J23" i="6" s="1"/>
  <c r="J22" i="6" a="1"/>
  <c r="J22" i="6" s="1"/>
  <c r="J21" i="6" a="1"/>
  <c r="J21" i="6" s="1"/>
  <c r="J20" i="6" a="1"/>
  <c r="J20" i="6" s="1"/>
  <c r="J19" i="6" a="1"/>
  <c r="J19" i="6" s="1"/>
  <c r="J18" i="6" a="1"/>
  <c r="J18" i="6" s="1"/>
  <c r="J17" i="6" a="1"/>
  <c r="J17" i="6" s="1"/>
  <c r="J16" i="6" a="1"/>
  <c r="J16" i="6" s="1"/>
  <c r="J15" i="6"/>
  <c r="J15" i="6" a="1"/>
  <c r="J14" i="6" a="1"/>
  <c r="J14" i="6" s="1"/>
  <c r="J13" i="6" a="1"/>
  <c r="J13" i="6" s="1"/>
  <c r="J12" i="6" a="1"/>
  <c r="J12" i="6" s="1"/>
  <c r="J11" i="6" a="1"/>
  <c r="J11" i="6" s="1"/>
  <c r="J10" i="6" a="1"/>
  <c r="J10" i="6" s="1"/>
  <c r="J9" i="6" a="1"/>
  <c r="J9" i="6" s="1"/>
  <c r="J8" i="6" a="1"/>
  <c r="J8" i="6" s="1"/>
  <c r="J7" i="6" a="1"/>
  <c r="J7" i="6" s="1"/>
  <c r="J6" i="6" a="1"/>
  <c r="J6" i="6" s="1"/>
  <c r="J5" i="6" a="1"/>
  <c r="J5" i="6" s="1"/>
  <c r="J4" i="6"/>
  <c r="J4" i="6" a="1"/>
  <c r="J3" i="6" a="1"/>
  <c r="J3" i="6" s="1"/>
  <c r="J2" i="6" a="1"/>
  <c r="J2" i="6" s="1"/>
  <c r="J64" i="5" a="1"/>
  <c r="J64" i="5" s="1"/>
  <c r="J63" i="5" a="1"/>
  <c r="J63" i="5" s="1"/>
  <c r="J62" i="5" a="1"/>
  <c r="J62" i="5" s="1"/>
  <c r="J61" i="5" a="1"/>
  <c r="J61" i="5" s="1"/>
  <c r="J60" i="5" a="1"/>
  <c r="J60" i="5" s="1"/>
  <c r="J59" i="5"/>
  <c r="J59" i="5" a="1"/>
  <c r="J58" i="5" a="1"/>
  <c r="J58" i="5" s="1"/>
  <c r="J57" i="5" a="1"/>
  <c r="J57" i="5" s="1"/>
  <c r="J56" i="5" a="1"/>
  <c r="J56" i="5" s="1"/>
  <c r="J55" i="5" a="1"/>
  <c r="J55" i="5" s="1"/>
  <c r="J54" i="5" a="1"/>
  <c r="J54" i="5" s="1"/>
  <c r="J53" i="5" a="1"/>
  <c r="J53" i="5" s="1"/>
  <c r="J52" i="5" a="1"/>
  <c r="J52" i="5" s="1"/>
  <c r="J51" i="5" a="1"/>
  <c r="J51" i="5" s="1"/>
  <c r="J50" i="5" a="1"/>
  <c r="J50" i="5" s="1"/>
  <c r="J49" i="5" a="1"/>
  <c r="J49" i="5" s="1"/>
  <c r="J48" i="5"/>
  <c r="J48" i="5" a="1"/>
  <c r="J47" i="5" a="1"/>
  <c r="J47" i="5" s="1"/>
  <c r="J46" i="5" a="1"/>
  <c r="J46" i="5" s="1"/>
  <c r="J45" i="5" a="1"/>
  <c r="J45" i="5" s="1"/>
  <c r="J44" i="5" a="1"/>
  <c r="J44" i="5" s="1"/>
  <c r="J43" i="5" a="1"/>
  <c r="J43" i="5" s="1"/>
  <c r="J42" i="5" a="1"/>
  <c r="J42" i="5" s="1"/>
  <c r="J41" i="5" a="1"/>
  <c r="J41" i="5" s="1"/>
  <c r="J40" i="5" a="1"/>
  <c r="J40" i="5" s="1"/>
  <c r="J39" i="5" a="1"/>
  <c r="J39" i="5" s="1"/>
  <c r="J38" i="5" a="1"/>
  <c r="J38" i="5" s="1"/>
  <c r="J37" i="5"/>
  <c r="J37" i="5" a="1"/>
  <c r="J36" i="5" a="1"/>
  <c r="J36" i="5" s="1"/>
  <c r="J35" i="5" a="1"/>
  <c r="J35" i="5" s="1"/>
  <c r="J34" i="5" a="1"/>
  <c r="J34" i="5" s="1"/>
  <c r="J33" i="5" a="1"/>
  <c r="J33" i="5" s="1"/>
  <c r="J32" i="5" a="1"/>
  <c r="J32" i="5" s="1"/>
  <c r="J31" i="5" a="1"/>
  <c r="J31" i="5" s="1"/>
  <c r="J30" i="5" a="1"/>
  <c r="J30" i="5" s="1"/>
  <c r="J29" i="5" a="1"/>
  <c r="J29" i="5" s="1"/>
  <c r="J28" i="5" a="1"/>
  <c r="J28" i="5" s="1"/>
  <c r="J27" i="5" a="1"/>
  <c r="J27" i="5" s="1"/>
  <c r="J26" i="5"/>
  <c r="J26" i="5" a="1"/>
  <c r="J25" i="5" a="1"/>
  <c r="J25" i="5" s="1"/>
  <c r="J24" i="5" a="1"/>
  <c r="J24" i="5" s="1"/>
  <c r="J23" i="5" a="1"/>
  <c r="J23" i="5" s="1"/>
  <c r="J22" i="5" a="1"/>
  <c r="J22" i="5" s="1"/>
  <c r="J21" i="5" a="1"/>
  <c r="J21" i="5" s="1"/>
  <c r="J20" i="5" a="1"/>
  <c r="J20" i="5" s="1"/>
  <c r="J19" i="5" a="1"/>
  <c r="J19" i="5" s="1"/>
  <c r="J18" i="5" a="1"/>
  <c r="J18" i="5" s="1"/>
  <c r="J17" i="5" a="1"/>
  <c r="J17" i="5" s="1"/>
  <c r="J16" i="5" a="1"/>
  <c r="J16" i="5" s="1"/>
  <c r="J15" i="5"/>
  <c r="J15" i="5" a="1"/>
  <c r="J14" i="5" a="1"/>
  <c r="J14" i="5" s="1"/>
  <c r="J13" i="5" a="1"/>
  <c r="J13" i="5" s="1"/>
  <c r="J12" i="5" a="1"/>
  <c r="J12" i="5" s="1"/>
  <c r="J11" i="5" a="1"/>
  <c r="J11" i="5" s="1"/>
  <c r="J10" i="5" a="1"/>
  <c r="J10" i="5" s="1"/>
  <c r="J9" i="5" a="1"/>
  <c r="J9" i="5" s="1"/>
  <c r="J8" i="5" a="1"/>
  <c r="J8" i="5" s="1"/>
  <c r="J7" i="5" a="1"/>
  <c r="J7" i="5" s="1"/>
  <c r="J6" i="5" a="1"/>
  <c r="J6" i="5" s="1"/>
  <c r="J5" i="5" a="1"/>
  <c r="J5" i="5" s="1"/>
  <c r="J4" i="5"/>
  <c r="J4" i="5" a="1"/>
  <c r="J3" i="5" a="1"/>
  <c r="J3" i="5" s="1"/>
  <c r="J2" i="5" a="1"/>
  <c r="J2" i="5" s="1"/>
  <c r="J63" i="4" a="1"/>
  <c r="J63" i="4" s="1"/>
  <c r="J62" i="4" a="1"/>
  <c r="J62" i="4" s="1"/>
  <c r="J61" i="4" a="1"/>
  <c r="J61" i="4" s="1"/>
  <c r="J60" i="4" a="1"/>
  <c r="J60" i="4" s="1"/>
  <c r="J59" i="4" a="1"/>
  <c r="J59" i="4" s="1"/>
  <c r="J58" i="4"/>
  <c r="J58" i="4" a="1"/>
  <c r="J57" i="4" a="1"/>
  <c r="J57" i="4" s="1"/>
  <c r="J56" i="4" a="1"/>
  <c r="J56" i="4" s="1"/>
  <c r="J55" i="4" a="1"/>
  <c r="J55" i="4" s="1"/>
  <c r="J54" i="4" a="1"/>
  <c r="J54" i="4" s="1"/>
  <c r="J53" i="4" a="1"/>
  <c r="J53" i="4" s="1"/>
  <c r="J52" i="4" a="1"/>
  <c r="J52" i="4" s="1"/>
  <c r="J51" i="4" a="1"/>
  <c r="J51" i="4" s="1"/>
  <c r="J50" i="4" a="1"/>
  <c r="J50" i="4" s="1"/>
  <c r="J49" i="4" a="1"/>
  <c r="J49" i="4" s="1"/>
  <c r="J48" i="4" a="1"/>
  <c r="J48" i="4" s="1"/>
  <c r="J47" i="4"/>
  <c r="J47" i="4" a="1"/>
  <c r="J46" i="4" a="1"/>
  <c r="J46" i="4" s="1"/>
  <c r="J45" i="4" a="1"/>
  <c r="J45" i="4" s="1"/>
  <c r="J44" i="4" a="1"/>
  <c r="J44" i="4" s="1"/>
  <c r="J43" i="4" a="1"/>
  <c r="J43" i="4" s="1"/>
  <c r="J42" i="4" a="1"/>
  <c r="J42" i="4" s="1"/>
  <c r="J41" i="4" a="1"/>
  <c r="J41" i="4" s="1"/>
  <c r="J40" i="4" a="1"/>
  <c r="J40" i="4" s="1"/>
  <c r="J39" i="4" a="1"/>
  <c r="J39" i="4" s="1"/>
  <c r="J38" i="4" a="1"/>
  <c r="J38" i="4" s="1"/>
  <c r="J37" i="4" a="1"/>
  <c r="J37" i="4" s="1"/>
  <c r="J36" i="4"/>
  <c r="J36" i="4" a="1"/>
  <c r="J35" i="4" a="1"/>
  <c r="J35" i="4" s="1"/>
  <c r="J34" i="4" a="1"/>
  <c r="J34" i="4" s="1"/>
  <c r="J33" i="4" a="1"/>
  <c r="J33" i="4" s="1"/>
  <c r="J32" i="4" a="1"/>
  <c r="J32" i="4" s="1"/>
  <c r="J31" i="4" a="1"/>
  <c r="J31" i="4" s="1"/>
  <c r="J30" i="4" a="1"/>
  <c r="J30" i="4" s="1"/>
  <c r="J29" i="4" a="1"/>
  <c r="J29" i="4" s="1"/>
  <c r="J28" i="4" a="1"/>
  <c r="J28" i="4" s="1"/>
  <c r="J27" i="4" a="1"/>
  <c r="J27" i="4" s="1"/>
  <c r="J26" i="4" a="1"/>
  <c r="J26" i="4" s="1"/>
  <c r="J25" i="4"/>
  <c r="J25" i="4" a="1"/>
  <c r="J24" i="4" a="1"/>
  <c r="J24" i="4" s="1"/>
  <c r="J23" i="4" a="1"/>
  <c r="J23" i="4" s="1"/>
  <c r="J22" i="4" a="1"/>
  <c r="J22" i="4" s="1"/>
  <c r="J21" i="4" a="1"/>
  <c r="J21" i="4" s="1"/>
  <c r="J20" i="4" a="1"/>
  <c r="J20" i="4" s="1"/>
  <c r="J19" i="4" a="1"/>
  <c r="J19" i="4" s="1"/>
  <c r="J18" i="4" a="1"/>
  <c r="J18" i="4" s="1"/>
  <c r="J17" i="4" a="1"/>
  <c r="J17" i="4" s="1"/>
  <c r="J16" i="4" a="1"/>
  <c r="J16" i="4" s="1"/>
  <c r="J15" i="4" a="1"/>
  <c r="J15" i="4" s="1"/>
  <c r="J14" i="4"/>
  <c r="J14" i="4" a="1"/>
  <c r="J13" i="4" a="1"/>
  <c r="J13" i="4" s="1"/>
  <c r="J12" i="4" a="1"/>
  <c r="J12" i="4" s="1"/>
  <c r="J11" i="4" a="1"/>
  <c r="J11" i="4" s="1"/>
  <c r="J10" i="4" a="1"/>
  <c r="J10" i="4" s="1"/>
  <c r="J9" i="4" a="1"/>
  <c r="J9" i="4" s="1"/>
  <c r="J8" i="4" a="1"/>
  <c r="J8" i="4" s="1"/>
  <c r="J7" i="4" a="1"/>
  <c r="J7" i="4" s="1"/>
  <c r="J6" i="4" a="1"/>
  <c r="J6" i="4" s="1"/>
  <c r="J5" i="4" a="1"/>
  <c r="J5" i="4" s="1"/>
  <c r="J4" i="4" a="1"/>
  <c r="J4" i="4" s="1"/>
  <c r="J3" i="4"/>
  <c r="J3" i="4" a="1"/>
  <c r="J2" i="4" a="1"/>
  <c r="J2" i="4" s="1"/>
  <c r="J63" i="3" a="1"/>
  <c r="J63" i="3" s="1"/>
  <c r="J62" i="3" a="1"/>
  <c r="J62" i="3" s="1"/>
  <c r="J61" i="3" a="1"/>
  <c r="J61" i="3" s="1"/>
  <c r="J60" i="3" a="1"/>
  <c r="J60" i="3" s="1"/>
  <c r="J59" i="3" a="1"/>
  <c r="J59" i="3" s="1"/>
  <c r="J58" i="3"/>
  <c r="J58" i="3" a="1"/>
  <c r="J57" i="3" a="1"/>
  <c r="J57" i="3" s="1"/>
  <c r="J56" i="3" a="1"/>
  <c r="J56" i="3" s="1"/>
  <c r="J55" i="3" a="1"/>
  <c r="J55" i="3" s="1"/>
  <c r="J54" i="3"/>
  <c r="J54" i="3" a="1"/>
  <c r="J53" i="3" a="1"/>
  <c r="J53" i="3" s="1"/>
  <c r="J52" i="3" a="1"/>
  <c r="J52" i="3" s="1"/>
  <c r="J51" i="3" a="1"/>
  <c r="J51" i="3" s="1"/>
  <c r="J50" i="3" a="1"/>
  <c r="J50" i="3" s="1"/>
  <c r="J49" i="3" a="1"/>
  <c r="J49" i="3" s="1"/>
  <c r="J48" i="3" a="1"/>
  <c r="J48" i="3" s="1"/>
  <c r="J47" i="3"/>
  <c r="J47" i="3" a="1"/>
  <c r="J46" i="3" a="1"/>
  <c r="J46" i="3" s="1"/>
  <c r="J45" i="3" a="1"/>
  <c r="J45" i="3" s="1"/>
  <c r="J44" i="3" a="1"/>
  <c r="J44" i="3" s="1"/>
  <c r="J43" i="3"/>
  <c r="J43" i="3" a="1"/>
  <c r="J42" i="3" a="1"/>
  <c r="J42" i="3" s="1"/>
  <c r="J41" i="3" a="1"/>
  <c r="J41" i="3" s="1"/>
  <c r="J40" i="3" a="1"/>
  <c r="J40" i="3" s="1"/>
  <c r="J39" i="3" a="1"/>
  <c r="J39" i="3" s="1"/>
  <c r="J38" i="3" a="1"/>
  <c r="J38" i="3" s="1"/>
  <c r="J37" i="3" a="1"/>
  <c r="J37" i="3" s="1"/>
  <c r="J36" i="3"/>
  <c r="J36" i="3" a="1"/>
  <c r="J35" i="3" a="1"/>
  <c r="J35" i="3" s="1"/>
  <c r="J34" i="3" a="1"/>
  <c r="J34" i="3" s="1"/>
  <c r="J33" i="3" a="1"/>
  <c r="J33" i="3" s="1"/>
  <c r="J32" i="3"/>
  <c r="J32" i="3" a="1"/>
  <c r="J31" i="3" a="1"/>
  <c r="J31" i="3" s="1"/>
  <c r="J30" i="3" a="1"/>
  <c r="J30" i="3" s="1"/>
  <c r="J29" i="3" a="1"/>
  <c r="J29" i="3" s="1"/>
  <c r="J28" i="3" a="1"/>
  <c r="J28" i="3" s="1"/>
  <c r="J27" i="3" a="1"/>
  <c r="J27" i="3" s="1"/>
  <c r="J26" i="3" a="1"/>
  <c r="J26" i="3" s="1"/>
  <c r="J25" i="3"/>
  <c r="J25" i="3" a="1"/>
  <c r="J24" i="3" a="1"/>
  <c r="J24" i="3" s="1"/>
  <c r="J23" i="3" a="1"/>
  <c r="J23" i="3" s="1"/>
  <c r="J22" i="3" a="1"/>
  <c r="J22" i="3" s="1"/>
  <c r="J21" i="3"/>
  <c r="J21" i="3" a="1"/>
  <c r="J20" i="3" a="1"/>
  <c r="J20" i="3" s="1"/>
  <c r="J19" i="3" a="1"/>
  <c r="J19" i="3" s="1"/>
  <c r="J18" i="3" a="1"/>
  <c r="J18" i="3" s="1"/>
  <c r="J17" i="3" a="1"/>
  <c r="J17" i="3" s="1"/>
  <c r="J16" i="3" a="1"/>
  <c r="J16" i="3" s="1"/>
  <c r="J15" i="3" a="1"/>
  <c r="J15" i="3" s="1"/>
  <c r="J14" i="3"/>
  <c r="J14" i="3" a="1"/>
  <c r="J13" i="3" a="1"/>
  <c r="J13" i="3" s="1"/>
  <c r="J12" i="3" a="1"/>
  <c r="J12" i="3" s="1"/>
  <c r="J11" i="3" a="1"/>
  <c r="J11" i="3" s="1"/>
  <c r="J10" i="3"/>
  <c r="J10" i="3" a="1"/>
  <c r="J9" i="3" a="1"/>
  <c r="J9" i="3" s="1"/>
  <c r="J8" i="3" a="1"/>
  <c r="J8" i="3" s="1"/>
  <c r="J7" i="3" a="1"/>
  <c r="J7" i="3" s="1"/>
  <c r="J6" i="3" a="1"/>
  <c r="J6" i="3" s="1"/>
  <c r="J5" i="3" a="1"/>
  <c r="J5" i="3" s="1"/>
  <c r="J4" i="3" a="1"/>
  <c r="J4" i="3" s="1"/>
  <c r="J3" i="3"/>
  <c r="J3" i="3" a="1"/>
  <c r="J2" i="3" a="1"/>
  <c r="J2" i="3" s="1"/>
  <c r="J63" i="2" a="1"/>
  <c r="J63" i="2" s="1"/>
  <c r="J62" i="2" a="1"/>
  <c r="J62" i="2" s="1"/>
  <c r="J61" i="2" a="1"/>
  <c r="J61" i="2" s="1"/>
  <c r="J60" i="2" a="1"/>
  <c r="J60" i="2" s="1"/>
  <c r="J59" i="2" a="1"/>
  <c r="J59" i="2" s="1"/>
  <c r="J58" i="2" a="1"/>
  <c r="J58" i="2" s="1"/>
  <c r="J57" i="2" a="1"/>
  <c r="J57" i="2" s="1"/>
  <c r="J56" i="2" a="1"/>
  <c r="J56" i="2" s="1"/>
  <c r="J55" i="2" a="1"/>
  <c r="J55" i="2" s="1"/>
  <c r="J54" i="2" a="1"/>
  <c r="J54" i="2" s="1"/>
  <c r="J53" i="2" a="1"/>
  <c r="J53" i="2" s="1"/>
  <c r="J52" i="2" a="1"/>
  <c r="J52" i="2" s="1"/>
  <c r="J51" i="2" a="1"/>
  <c r="J51" i="2" s="1"/>
  <c r="J50" i="2" a="1"/>
  <c r="J50" i="2" s="1"/>
  <c r="J49" i="2" a="1"/>
  <c r="J49" i="2" s="1"/>
  <c r="J48" i="2" a="1"/>
  <c r="J48" i="2" s="1"/>
  <c r="J47" i="2" a="1"/>
  <c r="J47" i="2" s="1"/>
  <c r="J46" i="2" a="1"/>
  <c r="J46" i="2" s="1"/>
  <c r="J45" i="2" a="1"/>
  <c r="J45" i="2" s="1"/>
  <c r="J44" i="2" a="1"/>
  <c r="J44" i="2" s="1"/>
  <c r="J43" i="2" a="1"/>
  <c r="J43" i="2" s="1"/>
  <c r="J42" i="2" a="1"/>
  <c r="J42" i="2" s="1"/>
  <c r="J41" i="2" a="1"/>
  <c r="J41" i="2" s="1"/>
  <c r="J40" i="2" a="1"/>
  <c r="J40" i="2" s="1"/>
  <c r="J39" i="2" a="1"/>
  <c r="J39" i="2" s="1"/>
  <c r="J38" i="2" a="1"/>
  <c r="J38" i="2" s="1"/>
  <c r="J37" i="2" a="1"/>
  <c r="J37" i="2" s="1"/>
  <c r="J36" i="2" a="1"/>
  <c r="J36" i="2" s="1"/>
  <c r="J35" i="2" a="1"/>
  <c r="J35" i="2" s="1"/>
  <c r="J34" i="2" a="1"/>
  <c r="J34" i="2" s="1"/>
  <c r="J33" i="2" a="1"/>
  <c r="J33" i="2" s="1"/>
  <c r="J32" i="2" a="1"/>
  <c r="J32" i="2" s="1"/>
  <c r="J31" i="2" a="1"/>
  <c r="J31" i="2" s="1"/>
  <c r="J30" i="2" a="1"/>
  <c r="J30" i="2" s="1"/>
  <c r="J29" i="2" a="1"/>
  <c r="J29" i="2" s="1"/>
  <c r="J28" i="2" a="1"/>
  <c r="J28" i="2" s="1"/>
  <c r="J27" i="2" a="1"/>
  <c r="J27" i="2" s="1"/>
  <c r="J26" i="2" a="1"/>
  <c r="J26" i="2" s="1"/>
  <c r="J25" i="2" a="1"/>
  <c r="J25" i="2" s="1"/>
  <c r="J24" i="2" a="1"/>
  <c r="J24" i="2" s="1"/>
  <c r="J23" i="2" a="1"/>
  <c r="J23" i="2" s="1"/>
  <c r="J22" i="2" a="1"/>
  <c r="J22" i="2" s="1"/>
  <c r="J21" i="2" a="1"/>
  <c r="J21" i="2" s="1"/>
  <c r="J20" i="2" a="1"/>
  <c r="J20" i="2" s="1"/>
  <c r="J19" i="2" a="1"/>
  <c r="J19" i="2" s="1"/>
  <c r="J18" i="2" a="1"/>
  <c r="J18" i="2" s="1"/>
  <c r="J17" i="2" a="1"/>
  <c r="J17" i="2" s="1"/>
  <c r="J16" i="2" a="1"/>
  <c r="J16" i="2" s="1"/>
  <c r="J15" i="2" a="1"/>
  <c r="J15" i="2" s="1"/>
  <c r="J14" i="2" a="1"/>
  <c r="J14" i="2" s="1"/>
  <c r="J13" i="2" a="1"/>
  <c r="J13" i="2" s="1"/>
  <c r="J12" i="2" a="1"/>
  <c r="J12" i="2" s="1"/>
  <c r="J11" i="2" a="1"/>
  <c r="J11" i="2" s="1"/>
  <c r="J10" i="2" a="1"/>
  <c r="J10" i="2" s="1"/>
  <c r="J9" i="2" a="1"/>
  <c r="J9" i="2" s="1"/>
  <c r="J8" i="2" a="1"/>
  <c r="J8" i="2" s="1"/>
  <c r="J7" i="2" a="1"/>
  <c r="J7" i="2" s="1"/>
  <c r="J6" i="2" a="1"/>
  <c r="J6" i="2" s="1"/>
  <c r="J5" i="2" a="1"/>
  <c r="J5" i="2" s="1"/>
  <c r="J4" i="2" a="1"/>
  <c r="J4" i="2" s="1"/>
  <c r="J3" i="2" a="1"/>
  <c r="J3" i="2" s="1"/>
  <c r="J2" i="2" a="1"/>
  <c r="J2" i="2" s="1"/>
  <c r="D3" i="6" l="1" a="1"/>
  <c r="D3" i="6" s="1"/>
  <c r="G3" i="6" a="1"/>
  <c r="G3" i="6" s="1"/>
  <c r="D4" i="6" a="1"/>
  <c r="D4" i="6" s="1"/>
  <c r="G4" i="6" a="1"/>
  <c r="G4" i="6" s="1"/>
  <c r="D5" i="6" a="1"/>
  <c r="D5" i="6" s="1"/>
  <c r="G5" i="6" a="1"/>
  <c r="G5" i="6"/>
  <c r="D6" i="6" a="1"/>
  <c r="D6" i="6"/>
  <c r="G6" i="6" a="1"/>
  <c r="G6" i="6"/>
  <c r="D7" i="6" a="1"/>
  <c r="D7" i="6"/>
  <c r="G7" i="6" a="1"/>
  <c r="G7" i="6"/>
  <c r="D8" i="6" a="1"/>
  <c r="D8" i="6"/>
  <c r="G8" i="6" a="1"/>
  <c r="G8" i="6" s="1"/>
  <c r="D9" i="6" a="1"/>
  <c r="D9" i="6" s="1"/>
  <c r="G9" i="6" a="1"/>
  <c r="G9" i="6" s="1"/>
  <c r="D10" i="6" a="1"/>
  <c r="D10" i="6" s="1"/>
  <c r="G10" i="6" a="1"/>
  <c r="G10" i="6" s="1"/>
  <c r="D11" i="6" a="1"/>
  <c r="D11" i="6"/>
  <c r="G11" i="6" a="1"/>
  <c r="G11" i="6"/>
  <c r="D12" i="6" a="1"/>
  <c r="D12" i="6"/>
  <c r="G12" i="6" a="1"/>
  <c r="G12" i="6"/>
  <c r="D13" i="6" a="1"/>
  <c r="D13" i="6"/>
  <c r="G13" i="6" a="1"/>
  <c r="G13" i="6"/>
  <c r="D14" i="6" a="1"/>
  <c r="D14" i="6" s="1"/>
  <c r="G14" i="6" a="1"/>
  <c r="G14" i="6" s="1"/>
  <c r="D15" i="6" a="1"/>
  <c r="D15" i="6" s="1"/>
  <c r="G15" i="6" a="1"/>
  <c r="G15" i="6" s="1"/>
  <c r="D16" i="6" a="1"/>
  <c r="D16" i="6" s="1"/>
  <c r="G16" i="6" a="1"/>
  <c r="G16" i="6"/>
  <c r="D17" i="6" a="1"/>
  <c r="D17" i="6"/>
  <c r="G17" i="6" a="1"/>
  <c r="G17" i="6"/>
  <c r="D18" i="6" a="1"/>
  <c r="D18" i="6"/>
  <c r="G18" i="6" a="1"/>
  <c r="G18" i="6"/>
  <c r="D19" i="6" a="1"/>
  <c r="D19" i="6"/>
  <c r="G19" i="6" a="1"/>
  <c r="G19" i="6" s="1"/>
  <c r="D20" i="6" a="1"/>
  <c r="D20" i="6" s="1"/>
  <c r="G20" i="6" a="1"/>
  <c r="G20" i="6" s="1"/>
  <c r="D21" i="6" a="1"/>
  <c r="D21" i="6" s="1"/>
  <c r="G21" i="6" a="1"/>
  <c r="G21" i="6" s="1"/>
  <c r="D22" i="6" a="1"/>
  <c r="D22" i="6"/>
  <c r="G22" i="6" a="1"/>
  <c r="G22" i="6"/>
  <c r="D23" i="6" a="1"/>
  <c r="D23" i="6"/>
  <c r="G23" i="6" a="1"/>
  <c r="G23" i="6"/>
  <c r="D24" i="6" a="1"/>
  <c r="D24" i="6"/>
  <c r="G24" i="6" a="1"/>
  <c r="G24" i="6"/>
  <c r="D25" i="6" a="1"/>
  <c r="D25" i="6" s="1"/>
  <c r="G25" i="6" a="1"/>
  <c r="G25" i="6" s="1"/>
  <c r="D26" i="6" a="1"/>
  <c r="D26" i="6" s="1"/>
  <c r="G26" i="6" a="1"/>
  <c r="G26" i="6" s="1"/>
  <c r="D27" i="6" a="1"/>
  <c r="D27" i="6" s="1"/>
  <c r="G27" i="6" a="1"/>
  <c r="G27" i="6"/>
  <c r="D28" i="6" a="1"/>
  <c r="D28" i="6"/>
  <c r="G28" i="6" a="1"/>
  <c r="G28" i="6"/>
  <c r="D29" i="6" a="1"/>
  <c r="D29" i="6"/>
  <c r="G29" i="6" a="1"/>
  <c r="G29" i="6"/>
  <c r="D30" i="6" a="1"/>
  <c r="D30" i="6"/>
  <c r="G30" i="6" a="1"/>
  <c r="G30" i="6" s="1"/>
  <c r="D31" i="6" a="1"/>
  <c r="D31" i="6" s="1"/>
  <c r="G31" i="6" a="1"/>
  <c r="G31" i="6" s="1"/>
  <c r="D32" i="6" a="1"/>
  <c r="D32" i="6" s="1"/>
  <c r="G32" i="6" a="1"/>
  <c r="G32" i="6" s="1"/>
  <c r="D33" i="6" a="1"/>
  <c r="D33" i="6"/>
  <c r="G33" i="6" a="1"/>
  <c r="G33" i="6"/>
  <c r="D34" i="6" a="1"/>
  <c r="D34" i="6"/>
  <c r="G34" i="6" a="1"/>
  <c r="G34" i="6"/>
  <c r="D35" i="6" a="1"/>
  <c r="D35" i="6"/>
  <c r="G35" i="6" a="1"/>
  <c r="G35" i="6"/>
  <c r="D36" i="6" a="1"/>
  <c r="D36" i="6" s="1"/>
  <c r="G36" i="6" a="1"/>
  <c r="G36" i="6" s="1"/>
  <c r="D37" i="6" a="1"/>
  <c r="D37" i="6" s="1"/>
  <c r="G37" i="6" a="1"/>
  <c r="G37" i="6" s="1"/>
  <c r="D38" i="6" a="1"/>
  <c r="D38" i="6" s="1"/>
  <c r="G38" i="6" a="1"/>
  <c r="G38" i="6"/>
  <c r="D39" i="6" a="1"/>
  <c r="D39" i="6"/>
  <c r="G39" i="6" a="1"/>
  <c r="G39" i="6"/>
  <c r="D40" i="6" a="1"/>
  <c r="D40" i="6"/>
  <c r="G40" i="6" a="1"/>
  <c r="G40" i="6"/>
  <c r="D41" i="6" a="1"/>
  <c r="D41" i="6"/>
  <c r="G41" i="6" a="1"/>
  <c r="G41" i="6" s="1"/>
  <c r="D42" i="6" a="1"/>
  <c r="D42" i="6" s="1"/>
  <c r="G42" i="6" a="1"/>
  <c r="G42" i="6" s="1"/>
  <c r="D43" i="6" a="1"/>
  <c r="D43" i="6" s="1"/>
  <c r="G43" i="6" a="1"/>
  <c r="G43" i="6" s="1"/>
  <c r="D44" i="6" a="1"/>
  <c r="D44" i="6"/>
  <c r="G44" i="6" a="1"/>
  <c r="G44" i="6"/>
  <c r="D45" i="6" a="1"/>
  <c r="D45" i="6"/>
  <c r="G45" i="6" a="1"/>
  <c r="G45" i="6"/>
  <c r="D46" i="6" a="1"/>
  <c r="D46" i="6"/>
  <c r="G46" i="6" a="1"/>
  <c r="G46" i="6"/>
  <c r="D47" i="6" a="1"/>
  <c r="D47" i="6" s="1"/>
  <c r="G47" i="6" a="1"/>
  <c r="G47" i="6" s="1"/>
  <c r="D48" i="6" a="1"/>
  <c r="D48" i="6" s="1"/>
  <c r="G48" i="6" a="1"/>
  <c r="G48" i="6" s="1"/>
  <c r="D49" i="6" a="1"/>
  <c r="D49" i="6" s="1"/>
  <c r="G49" i="6" a="1"/>
  <c r="G49" i="6"/>
  <c r="D50" i="6" a="1"/>
  <c r="D50" i="6"/>
  <c r="G50" i="6" a="1"/>
  <c r="G50" i="6"/>
  <c r="D51" i="6" a="1"/>
  <c r="D51" i="6"/>
  <c r="G51" i="6" a="1"/>
  <c r="G51" i="6"/>
  <c r="D52" i="6" a="1"/>
  <c r="D52" i="6"/>
  <c r="G52" i="6" a="1"/>
  <c r="G52" i="6" s="1"/>
  <c r="D53" i="6" a="1"/>
  <c r="D53" i="6" s="1"/>
  <c r="G53" i="6" a="1"/>
  <c r="G53" i="6" s="1"/>
  <c r="D54" i="6" a="1"/>
  <c r="D54" i="6" s="1"/>
  <c r="G54" i="6" a="1"/>
  <c r="G54" i="6" s="1"/>
  <c r="D55" i="6" a="1"/>
  <c r="D55" i="6"/>
  <c r="G55" i="6" a="1"/>
  <c r="G55" i="6"/>
  <c r="D56" i="6" a="1"/>
  <c r="D56" i="6"/>
  <c r="G56" i="6" a="1"/>
  <c r="G56" i="6"/>
  <c r="D57" i="6" a="1"/>
  <c r="D57" i="6"/>
  <c r="G57" i="6" a="1"/>
  <c r="G57" i="6"/>
  <c r="D58" i="6" a="1"/>
  <c r="D58" i="6" s="1"/>
  <c r="G58" i="6" a="1"/>
  <c r="G58" i="6" s="1"/>
  <c r="D59" i="6" a="1"/>
  <c r="D59" i="6" s="1"/>
  <c r="G59" i="6" a="1"/>
  <c r="G59" i="6" s="1"/>
  <c r="D60" i="6" a="1"/>
  <c r="D60" i="6" s="1"/>
  <c r="G60" i="6" a="1"/>
  <c r="G60" i="6"/>
  <c r="D61" i="6" a="1"/>
  <c r="D61" i="6"/>
  <c r="G61" i="6" a="1"/>
  <c r="G61" i="6"/>
  <c r="D62" i="6" a="1"/>
  <c r="D62" i="6"/>
  <c r="G62" i="6" a="1"/>
  <c r="G62" i="6"/>
  <c r="D63" i="6" a="1"/>
  <c r="D63" i="6"/>
  <c r="G63" i="6" a="1"/>
  <c r="G63" i="6" s="1"/>
  <c r="G2" i="6" a="1"/>
  <c r="G2" i="6" s="1"/>
  <c r="D2" i="6" a="1"/>
  <c r="D2" i="6" s="1"/>
  <c r="D3" i="5" a="1"/>
  <c r="D3" i="5" s="1"/>
  <c r="G3" i="5" a="1"/>
  <c r="G3" i="5" s="1"/>
  <c r="D4" i="5" a="1"/>
  <c r="D4" i="5" s="1"/>
  <c r="G4" i="5" a="1"/>
  <c r="G4" i="5" s="1"/>
  <c r="D5" i="5" a="1"/>
  <c r="D5" i="5" s="1"/>
  <c r="G5" i="5" a="1"/>
  <c r="G5" i="5"/>
  <c r="D6" i="5" a="1"/>
  <c r="D6" i="5"/>
  <c r="G6" i="5" a="1"/>
  <c r="G6" i="5"/>
  <c r="D7" i="5" a="1"/>
  <c r="D7" i="5"/>
  <c r="G7" i="5" a="1"/>
  <c r="G7" i="5"/>
  <c r="D8" i="5" a="1"/>
  <c r="D8" i="5"/>
  <c r="G8" i="5" a="1"/>
  <c r="G8" i="5" s="1"/>
  <c r="D9" i="5" a="1"/>
  <c r="D9" i="5" s="1"/>
  <c r="G9" i="5" a="1"/>
  <c r="G9" i="5" s="1"/>
  <c r="D10" i="5" a="1"/>
  <c r="D10" i="5" s="1"/>
  <c r="G10" i="5" a="1"/>
  <c r="G10" i="5" s="1"/>
  <c r="D11" i="5" a="1"/>
  <c r="D11" i="5"/>
  <c r="G11" i="5" a="1"/>
  <c r="G11" i="5"/>
  <c r="D12" i="5" a="1"/>
  <c r="D12" i="5"/>
  <c r="G12" i="5" a="1"/>
  <c r="G12" i="5"/>
  <c r="D13" i="5" a="1"/>
  <c r="D13" i="5"/>
  <c r="G13" i="5" a="1"/>
  <c r="G13" i="5" s="1"/>
  <c r="D14" i="5" a="1"/>
  <c r="D14" i="5" s="1"/>
  <c r="G14" i="5" a="1"/>
  <c r="G14" i="5" s="1"/>
  <c r="D15" i="5" a="1"/>
  <c r="D15" i="5" s="1"/>
  <c r="G15" i="5" a="1"/>
  <c r="G15" i="5" s="1"/>
  <c r="D16" i="5" a="1"/>
  <c r="D16" i="5" s="1"/>
  <c r="G16" i="5" a="1"/>
  <c r="G16" i="5"/>
  <c r="D17" i="5" a="1"/>
  <c r="D17" i="5"/>
  <c r="G17" i="5" a="1"/>
  <c r="G17" i="5"/>
  <c r="D18" i="5" a="1"/>
  <c r="D18" i="5"/>
  <c r="G18" i="5" a="1"/>
  <c r="G18" i="5"/>
  <c r="D19" i="5" a="1"/>
  <c r="D19" i="5"/>
  <c r="G19" i="5" a="1"/>
  <c r="G19" i="5" s="1"/>
  <c r="D20" i="5" a="1"/>
  <c r="D20" i="5" s="1"/>
  <c r="G20" i="5" a="1"/>
  <c r="G20" i="5" s="1"/>
  <c r="D21" i="5" a="1"/>
  <c r="D21" i="5" s="1"/>
  <c r="G21" i="5" a="1"/>
  <c r="G21" i="5" s="1"/>
  <c r="D22" i="5" a="1"/>
  <c r="D22" i="5"/>
  <c r="G22" i="5" a="1"/>
  <c r="G22" i="5"/>
  <c r="D23" i="5" a="1"/>
  <c r="D23" i="5"/>
  <c r="G23" i="5" a="1"/>
  <c r="G23" i="5"/>
  <c r="D24" i="5" a="1"/>
  <c r="D24" i="5"/>
  <c r="G24" i="5" a="1"/>
  <c r="G24" i="5"/>
  <c r="D25" i="5" a="1"/>
  <c r="D25" i="5" s="1"/>
  <c r="G25" i="5" a="1"/>
  <c r="G25" i="5" s="1"/>
  <c r="D26" i="5" a="1"/>
  <c r="D26" i="5" s="1"/>
  <c r="G26" i="5" a="1"/>
  <c r="G26" i="5" s="1"/>
  <c r="D27" i="5" a="1"/>
  <c r="D27" i="5" s="1"/>
  <c r="G27" i="5" a="1"/>
  <c r="G27" i="5"/>
  <c r="D28" i="5" a="1"/>
  <c r="D28" i="5"/>
  <c r="G28" i="5" a="1"/>
  <c r="G28" i="5"/>
  <c r="D29" i="5" a="1"/>
  <c r="D29" i="5"/>
  <c r="G29" i="5" a="1"/>
  <c r="G29" i="5"/>
  <c r="D30" i="5" a="1"/>
  <c r="D30" i="5"/>
  <c r="G30" i="5" a="1"/>
  <c r="G30" i="5" s="1"/>
  <c r="D31" i="5" a="1"/>
  <c r="D31" i="5" s="1"/>
  <c r="G31" i="5" a="1"/>
  <c r="G31" i="5" s="1"/>
  <c r="D32" i="5" a="1"/>
  <c r="D32" i="5" s="1"/>
  <c r="G32" i="5" a="1"/>
  <c r="G32" i="5" s="1"/>
  <c r="D33" i="5" a="1"/>
  <c r="D33" i="5"/>
  <c r="G33" i="5" a="1"/>
  <c r="G33" i="5"/>
  <c r="D34" i="5" a="1"/>
  <c r="D34" i="5"/>
  <c r="G34" i="5" a="1"/>
  <c r="G34" i="5"/>
  <c r="D35" i="5" a="1"/>
  <c r="D35" i="5"/>
  <c r="G35" i="5" a="1"/>
  <c r="G35" i="5"/>
  <c r="D36" i="5" a="1"/>
  <c r="D36" i="5" s="1"/>
  <c r="G36" i="5" a="1"/>
  <c r="G36" i="5" s="1"/>
  <c r="D37" i="5" a="1"/>
  <c r="D37" i="5" s="1"/>
  <c r="G37" i="5" a="1"/>
  <c r="G37" i="5" s="1"/>
  <c r="D38" i="5" a="1"/>
  <c r="D38" i="5" s="1"/>
  <c r="G38" i="5" a="1"/>
  <c r="G38" i="5"/>
  <c r="D39" i="5" a="1"/>
  <c r="D39" i="5"/>
  <c r="G39" i="5" a="1"/>
  <c r="G39" i="5"/>
  <c r="D40" i="5" a="1"/>
  <c r="D40" i="5"/>
  <c r="G40" i="5" a="1"/>
  <c r="G40" i="5"/>
  <c r="D41" i="5" a="1"/>
  <c r="D41" i="5"/>
  <c r="G41" i="5" a="1"/>
  <c r="G41" i="5" s="1"/>
  <c r="D42" i="5" a="1"/>
  <c r="D42" i="5" s="1"/>
  <c r="G42" i="5" a="1"/>
  <c r="G42" i="5" s="1"/>
  <c r="D43" i="5" a="1"/>
  <c r="D43" i="5" s="1"/>
  <c r="G43" i="5" a="1"/>
  <c r="G43" i="5" s="1"/>
  <c r="D44" i="5" a="1"/>
  <c r="D44" i="5"/>
  <c r="G44" i="5" a="1"/>
  <c r="G44" i="5"/>
  <c r="D45" i="5" a="1"/>
  <c r="D45" i="5"/>
  <c r="G45" i="5" a="1"/>
  <c r="G45" i="5"/>
  <c r="D46" i="5" a="1"/>
  <c r="D46" i="5"/>
  <c r="G46" i="5" a="1"/>
  <c r="G46" i="5"/>
  <c r="D47" i="5" a="1"/>
  <c r="D47" i="5" s="1"/>
  <c r="G47" i="5" a="1"/>
  <c r="G47" i="5" s="1"/>
  <c r="D48" i="5" a="1"/>
  <c r="D48" i="5" s="1"/>
  <c r="G48" i="5" a="1"/>
  <c r="G48" i="5" s="1"/>
  <c r="D49" i="5" a="1"/>
  <c r="D49" i="5" s="1"/>
  <c r="G49" i="5" a="1"/>
  <c r="G49" i="5"/>
  <c r="D50" i="5" a="1"/>
  <c r="D50" i="5"/>
  <c r="G50" i="5" a="1"/>
  <c r="G50" i="5"/>
  <c r="D51" i="5" a="1"/>
  <c r="D51" i="5"/>
  <c r="G51" i="5" a="1"/>
  <c r="G51" i="5"/>
  <c r="D52" i="5" a="1"/>
  <c r="D52" i="5"/>
  <c r="G52" i="5" a="1"/>
  <c r="G52" i="5" s="1"/>
  <c r="D53" i="5" a="1"/>
  <c r="D53" i="5" s="1"/>
  <c r="G53" i="5" a="1"/>
  <c r="G53" i="5" s="1"/>
  <c r="D54" i="5" a="1"/>
  <c r="D54" i="5" s="1"/>
  <c r="G54" i="5" a="1"/>
  <c r="G54" i="5" s="1"/>
  <c r="D55" i="5" a="1"/>
  <c r="D55" i="5"/>
  <c r="G55" i="5" a="1"/>
  <c r="G55" i="5"/>
  <c r="D56" i="5" a="1"/>
  <c r="D56" i="5"/>
  <c r="G56" i="5" a="1"/>
  <c r="G56" i="5" s="1"/>
  <c r="D57" i="5" a="1"/>
  <c r="D57" i="5"/>
  <c r="G57" i="5" a="1"/>
  <c r="G57" i="5"/>
  <c r="D58" i="5" a="1"/>
  <c r="D58" i="5" s="1"/>
  <c r="G58" i="5" a="1"/>
  <c r="G58" i="5" s="1"/>
  <c r="D59" i="5" a="1"/>
  <c r="D59" i="5" s="1"/>
  <c r="G59" i="5" a="1"/>
  <c r="G59" i="5" s="1"/>
  <c r="D60" i="5" a="1"/>
  <c r="D60" i="5" s="1"/>
  <c r="G60" i="5" a="1"/>
  <c r="G60" i="5"/>
  <c r="D61" i="5" a="1"/>
  <c r="D61" i="5"/>
  <c r="G61" i="5" a="1"/>
  <c r="G61" i="5"/>
  <c r="D62" i="5" a="1"/>
  <c r="D62" i="5" s="1"/>
  <c r="G62" i="5" a="1"/>
  <c r="G62" i="5"/>
  <c r="D63" i="5" a="1"/>
  <c r="D63" i="5"/>
  <c r="G63" i="5" a="1"/>
  <c r="G63" i="5" s="1"/>
  <c r="D64" i="5" a="1"/>
  <c r="D64" i="5" s="1"/>
  <c r="G64" i="5" a="1"/>
  <c r="G64" i="5" s="1"/>
  <c r="G2" i="5" a="1"/>
  <c r="G2" i="5" s="1"/>
  <c r="D2" i="5" a="1"/>
  <c r="D2" i="5" s="1"/>
  <c r="D3" i="4" a="1"/>
  <c r="D3" i="4" s="1"/>
  <c r="G3" i="4" a="1"/>
  <c r="G3" i="4" s="1"/>
  <c r="D4" i="4" a="1"/>
  <c r="D4" i="4" s="1"/>
  <c r="G4" i="4" a="1"/>
  <c r="G4" i="4" s="1"/>
  <c r="D5" i="4" a="1"/>
  <c r="D5" i="4" s="1"/>
  <c r="G5" i="4" a="1"/>
  <c r="G5" i="4" s="1"/>
  <c r="D6" i="4" a="1"/>
  <c r="D6" i="4"/>
  <c r="G6" i="4" a="1"/>
  <c r="G6" i="4"/>
  <c r="D7" i="4" a="1"/>
  <c r="D7" i="4"/>
  <c r="G7" i="4" a="1"/>
  <c r="G7" i="4"/>
  <c r="D8" i="4" a="1"/>
  <c r="D8" i="4"/>
  <c r="G8" i="4" a="1"/>
  <c r="G8" i="4" s="1"/>
  <c r="D9" i="4" a="1"/>
  <c r="D9" i="4" s="1"/>
  <c r="G9" i="4" a="1"/>
  <c r="G9" i="4" s="1"/>
  <c r="D10" i="4" a="1"/>
  <c r="D10" i="4" s="1"/>
  <c r="G10" i="4" a="1"/>
  <c r="G10" i="4" s="1"/>
  <c r="D11" i="4" a="1"/>
  <c r="D11" i="4" s="1"/>
  <c r="G11" i="4" a="1"/>
  <c r="G11" i="4"/>
  <c r="D12" i="4" a="1"/>
  <c r="D12" i="4"/>
  <c r="G12" i="4" a="1"/>
  <c r="G12" i="4"/>
  <c r="D13" i="4" a="1"/>
  <c r="D13" i="4"/>
  <c r="G13" i="4" a="1"/>
  <c r="G13" i="4"/>
  <c r="D14" i="4" a="1"/>
  <c r="D14" i="4" s="1"/>
  <c r="G14" i="4" a="1"/>
  <c r="G14" i="4" s="1"/>
  <c r="D15" i="4" a="1"/>
  <c r="D15" i="4" s="1"/>
  <c r="G15" i="4" a="1"/>
  <c r="G15" i="4" s="1"/>
  <c r="D16" i="4" a="1"/>
  <c r="D16" i="4" s="1"/>
  <c r="G16" i="4" a="1"/>
  <c r="G16" i="4" s="1"/>
  <c r="D17" i="4" a="1"/>
  <c r="D17" i="4"/>
  <c r="G17" i="4" a="1"/>
  <c r="G17" i="4"/>
  <c r="D18" i="4" a="1"/>
  <c r="D18" i="4"/>
  <c r="G18" i="4" a="1"/>
  <c r="G18" i="4"/>
  <c r="D19" i="4" a="1"/>
  <c r="D19" i="4"/>
  <c r="G19" i="4" a="1"/>
  <c r="G19" i="4" s="1"/>
  <c r="D20" i="4" a="1"/>
  <c r="D20" i="4" s="1"/>
  <c r="G20" i="4" a="1"/>
  <c r="G20" i="4" s="1"/>
  <c r="D21" i="4" a="1"/>
  <c r="D21" i="4" s="1"/>
  <c r="G21" i="4" a="1"/>
  <c r="G21" i="4" s="1"/>
  <c r="D22" i="4" a="1"/>
  <c r="D22" i="4" s="1"/>
  <c r="G22" i="4" a="1"/>
  <c r="G22" i="4"/>
  <c r="D23" i="4" a="1"/>
  <c r="D23" i="4"/>
  <c r="G23" i="4" a="1"/>
  <c r="G23" i="4"/>
  <c r="D24" i="4" a="1"/>
  <c r="D24" i="4"/>
  <c r="G24" i="4" a="1"/>
  <c r="G24" i="4"/>
  <c r="D25" i="4" a="1"/>
  <c r="D25" i="4" s="1"/>
  <c r="G25" i="4" a="1"/>
  <c r="G25" i="4" s="1"/>
  <c r="D26" i="4" a="1"/>
  <c r="D26" i="4" s="1"/>
  <c r="G26" i="4" a="1"/>
  <c r="G26" i="4" s="1"/>
  <c r="D27" i="4" a="1"/>
  <c r="D27" i="4" s="1"/>
  <c r="G27" i="4" a="1"/>
  <c r="G27" i="4" s="1"/>
  <c r="D28" i="4" a="1"/>
  <c r="D28" i="4"/>
  <c r="G28" i="4" a="1"/>
  <c r="G28" i="4"/>
  <c r="D29" i="4" a="1"/>
  <c r="D29" i="4"/>
  <c r="G29" i="4" a="1"/>
  <c r="G29" i="4"/>
  <c r="D30" i="4" a="1"/>
  <c r="D30" i="4"/>
  <c r="G30" i="4" a="1"/>
  <c r="G30" i="4" s="1"/>
  <c r="D31" i="4" a="1"/>
  <c r="D31" i="4" s="1"/>
  <c r="G31" i="4" a="1"/>
  <c r="G31" i="4" s="1"/>
  <c r="D32" i="4" a="1"/>
  <c r="D32" i="4" s="1"/>
  <c r="G32" i="4" a="1"/>
  <c r="G32" i="4" s="1"/>
  <c r="D33" i="4" a="1"/>
  <c r="D33" i="4" s="1"/>
  <c r="G33" i="4" a="1"/>
  <c r="G33" i="4"/>
  <c r="D34" i="4" a="1"/>
  <c r="D34" i="4"/>
  <c r="G34" i="4" a="1"/>
  <c r="G34" i="4" s="1"/>
  <c r="D35" i="4" a="1"/>
  <c r="D35" i="4"/>
  <c r="G35" i="4" a="1"/>
  <c r="G35" i="4"/>
  <c r="D36" i="4" a="1"/>
  <c r="D36" i="4" s="1"/>
  <c r="G36" i="4" a="1"/>
  <c r="G36" i="4" s="1"/>
  <c r="D37" i="4" a="1"/>
  <c r="D37" i="4" s="1"/>
  <c r="G37" i="4" a="1"/>
  <c r="G37" i="4" s="1"/>
  <c r="D38" i="4" a="1"/>
  <c r="D38" i="4" s="1"/>
  <c r="G38" i="4" a="1"/>
  <c r="G38" i="4" s="1"/>
  <c r="D39" i="4" a="1"/>
  <c r="D39" i="4"/>
  <c r="G39" i="4" a="1"/>
  <c r="G39" i="4"/>
  <c r="D40" i="4" a="1"/>
  <c r="D40" i="4"/>
  <c r="G40" i="4" a="1"/>
  <c r="G40" i="4"/>
  <c r="D41" i="4" a="1"/>
  <c r="D41" i="4" s="1"/>
  <c r="G41" i="4" a="1"/>
  <c r="G41" i="4" s="1"/>
  <c r="D42" i="4" a="1"/>
  <c r="D42" i="4" s="1"/>
  <c r="G42" i="4" a="1"/>
  <c r="G42" i="4" s="1"/>
  <c r="D43" i="4" a="1"/>
  <c r="D43" i="4" s="1"/>
  <c r="G43" i="4" a="1"/>
  <c r="G43" i="4" s="1"/>
  <c r="D44" i="4" a="1"/>
  <c r="D44" i="4" s="1"/>
  <c r="G44" i="4" a="1"/>
  <c r="G44" i="4"/>
  <c r="D45" i="4" a="1"/>
  <c r="D45" i="4" s="1"/>
  <c r="G45" i="4" a="1"/>
  <c r="G45" i="4"/>
  <c r="D46" i="4" a="1"/>
  <c r="D46" i="4"/>
  <c r="G46" i="4" a="1"/>
  <c r="G46" i="4" s="1"/>
  <c r="D47" i="4" a="1"/>
  <c r="D47" i="4" s="1"/>
  <c r="G47" i="4" a="1"/>
  <c r="G47" i="4" s="1"/>
  <c r="D48" i="4" a="1"/>
  <c r="D48" i="4" s="1"/>
  <c r="G48" i="4" a="1"/>
  <c r="G48" i="4" s="1"/>
  <c r="D49" i="4" a="1"/>
  <c r="D49" i="4" s="1"/>
  <c r="G49" i="4" a="1"/>
  <c r="G49" i="4" s="1"/>
  <c r="D50" i="4" a="1"/>
  <c r="D50" i="4"/>
  <c r="G50" i="4" a="1"/>
  <c r="G50" i="4" s="1"/>
  <c r="D51" i="4" a="1"/>
  <c r="D51" i="4"/>
  <c r="G51" i="4" a="1"/>
  <c r="G51" i="4"/>
  <c r="D52" i="4" a="1"/>
  <c r="D52" i="4" s="1"/>
  <c r="G52" i="4" a="1"/>
  <c r="G52" i="4" s="1"/>
  <c r="D53" i="4" a="1"/>
  <c r="D53" i="4" s="1"/>
  <c r="G53" i="4" a="1"/>
  <c r="G53" i="4" s="1"/>
  <c r="D54" i="4" a="1"/>
  <c r="D54" i="4" s="1"/>
  <c r="G54" i="4" a="1"/>
  <c r="G54" i="4" s="1"/>
  <c r="D55" i="4" a="1"/>
  <c r="D55" i="4" s="1"/>
  <c r="G55" i="4" a="1"/>
  <c r="G55" i="4"/>
  <c r="D56" i="4" a="1"/>
  <c r="D56" i="4"/>
  <c r="G56" i="4" a="1"/>
  <c r="G56" i="4"/>
  <c r="D57" i="4" a="1"/>
  <c r="D57" i="4"/>
  <c r="G57" i="4" a="1"/>
  <c r="G57" i="4"/>
  <c r="D58" i="4" a="1"/>
  <c r="D58" i="4" s="1"/>
  <c r="G58" i="4" a="1"/>
  <c r="G58" i="4" s="1"/>
  <c r="D59" i="4" a="1"/>
  <c r="D59" i="4" s="1"/>
  <c r="G59" i="4" a="1"/>
  <c r="G59" i="4" s="1"/>
  <c r="D60" i="4" a="1"/>
  <c r="D60" i="4" s="1"/>
  <c r="G60" i="4" a="1"/>
  <c r="G60" i="4" s="1"/>
  <c r="D61" i="4" a="1"/>
  <c r="D61" i="4"/>
  <c r="G61" i="4" a="1"/>
  <c r="G61" i="4"/>
  <c r="D62" i="4" a="1"/>
  <c r="D62" i="4"/>
  <c r="G62" i="4" a="1"/>
  <c r="G62" i="4"/>
  <c r="D63" i="4" a="1"/>
  <c r="D63" i="4"/>
  <c r="G63" i="4" a="1"/>
  <c r="G63" i="4" s="1"/>
  <c r="G2" i="4" a="1"/>
  <c r="G2" i="4" s="1"/>
  <c r="D2" i="4" a="1"/>
  <c r="D2" i="4" s="1"/>
  <c r="D3" i="3" l="1" a="1"/>
  <c r="D3" i="3"/>
  <c r="G3" i="3" a="1"/>
  <c r="G3" i="3" s="1"/>
  <c r="D4" i="3" a="1"/>
  <c r="D4" i="3" s="1"/>
  <c r="G4" i="3" a="1"/>
  <c r="G4" i="3"/>
  <c r="D5" i="3" a="1"/>
  <c r="D5" i="3" s="1"/>
  <c r="G5" i="3" a="1"/>
  <c r="G5" i="3"/>
  <c r="D6" i="3" a="1"/>
  <c r="D6" i="3"/>
  <c r="G6" i="3" a="1"/>
  <c r="G6" i="3"/>
  <c r="D7" i="3" a="1"/>
  <c r="D7" i="3"/>
  <c r="G7" i="3" a="1"/>
  <c r="G7" i="3"/>
  <c r="D8" i="3" a="1"/>
  <c r="D8" i="3"/>
  <c r="G8" i="3" a="1"/>
  <c r="G8" i="3"/>
  <c r="D9" i="3" a="1"/>
  <c r="D9" i="3" s="1"/>
  <c r="G9" i="3" a="1"/>
  <c r="G9" i="3" s="1"/>
  <c r="D10" i="3" a="1"/>
  <c r="D10" i="3"/>
  <c r="G10" i="3" a="1"/>
  <c r="G10" i="3" s="1"/>
  <c r="D11" i="3" a="1"/>
  <c r="D11" i="3"/>
  <c r="G11" i="3" a="1"/>
  <c r="G11" i="3"/>
  <c r="D12" i="3" a="1"/>
  <c r="D12" i="3"/>
  <c r="G12" i="3" a="1"/>
  <c r="G12" i="3"/>
  <c r="D13" i="3" a="1"/>
  <c r="D13" i="3"/>
  <c r="G13" i="3" a="1"/>
  <c r="G13" i="3"/>
  <c r="D14" i="3" a="1"/>
  <c r="D14" i="3"/>
  <c r="G14" i="3" a="1"/>
  <c r="G14" i="3" s="1"/>
  <c r="D15" i="3" a="1"/>
  <c r="D15" i="3" s="1"/>
  <c r="G15" i="3" a="1"/>
  <c r="G15" i="3" s="1"/>
  <c r="D16" i="3" a="1"/>
  <c r="D16" i="3" s="1"/>
  <c r="G16" i="3" a="1"/>
  <c r="G16" i="3"/>
  <c r="D17" i="3" a="1"/>
  <c r="D17" i="3"/>
  <c r="G17" i="3" a="1"/>
  <c r="G17" i="3"/>
  <c r="D18" i="3" a="1"/>
  <c r="D18" i="3"/>
  <c r="G18" i="3" a="1"/>
  <c r="G18" i="3"/>
  <c r="D19" i="3" a="1"/>
  <c r="D19" i="3"/>
  <c r="G19" i="3" a="1"/>
  <c r="G19" i="3"/>
  <c r="D20" i="3" a="1"/>
  <c r="D20" i="3" s="1"/>
  <c r="G20" i="3" a="1"/>
  <c r="G20" i="3" s="1"/>
  <c r="D21" i="3" a="1"/>
  <c r="D21" i="3"/>
  <c r="G21" i="3" a="1"/>
  <c r="G21" i="3" s="1"/>
  <c r="D22" i="3" a="1"/>
  <c r="D22" i="3"/>
  <c r="G22" i="3" a="1"/>
  <c r="G22" i="3"/>
  <c r="D23" i="3" a="1"/>
  <c r="D23" i="3"/>
  <c r="G23" i="3" a="1"/>
  <c r="G23" i="3"/>
  <c r="D24" i="3" a="1"/>
  <c r="D24" i="3"/>
  <c r="G24" i="3" a="1"/>
  <c r="G24" i="3"/>
  <c r="D25" i="3" a="1"/>
  <c r="D25" i="3"/>
  <c r="G25" i="3" a="1"/>
  <c r="G25" i="3" s="1"/>
  <c r="D26" i="3" a="1"/>
  <c r="D26" i="3" s="1"/>
  <c r="G26" i="3" a="1"/>
  <c r="G26" i="3"/>
  <c r="D27" i="3" a="1"/>
  <c r="D27" i="3" s="1"/>
  <c r="G27" i="3" a="1"/>
  <c r="G27" i="3"/>
  <c r="D28" i="3" a="1"/>
  <c r="D28" i="3"/>
  <c r="G28" i="3" a="1"/>
  <c r="G28" i="3"/>
  <c r="D29" i="3" a="1"/>
  <c r="D29" i="3"/>
  <c r="G29" i="3" a="1"/>
  <c r="G29" i="3"/>
  <c r="D30" i="3" a="1"/>
  <c r="D30" i="3"/>
  <c r="G30" i="3" a="1"/>
  <c r="G30" i="3"/>
  <c r="D31" i="3" a="1"/>
  <c r="D31" i="3" s="1"/>
  <c r="G31" i="3" a="1"/>
  <c r="G31" i="3" s="1"/>
  <c r="D32" i="3" a="1"/>
  <c r="D32" i="3"/>
  <c r="G32" i="3" a="1"/>
  <c r="G32" i="3" s="1"/>
  <c r="D33" i="3" a="1"/>
  <c r="D33" i="3"/>
  <c r="G33" i="3" a="1"/>
  <c r="G33" i="3"/>
  <c r="D34" i="3" a="1"/>
  <c r="D34" i="3"/>
  <c r="G34" i="3" a="1"/>
  <c r="G34" i="3"/>
  <c r="D35" i="3" a="1"/>
  <c r="D35" i="3"/>
  <c r="G35" i="3" a="1"/>
  <c r="G35" i="3"/>
  <c r="D36" i="3" a="1"/>
  <c r="D36" i="3"/>
  <c r="G36" i="3" a="1"/>
  <c r="G36" i="3" s="1"/>
  <c r="D37" i="3" a="1"/>
  <c r="D37" i="3" s="1"/>
  <c r="G37" i="3" a="1"/>
  <c r="G37" i="3"/>
  <c r="D38" i="3" a="1"/>
  <c r="D38" i="3" s="1"/>
  <c r="G38" i="3" a="1"/>
  <c r="G38" i="3"/>
  <c r="D39" i="3" a="1"/>
  <c r="D39" i="3"/>
  <c r="G39" i="3" a="1"/>
  <c r="G39" i="3" s="1"/>
  <c r="D40" i="3" a="1"/>
  <c r="D40" i="3" s="1"/>
  <c r="G40" i="3" a="1"/>
  <c r="G40" i="3"/>
  <c r="D41" i="3" a="1"/>
  <c r="D41" i="3"/>
  <c r="G41" i="3" a="1"/>
  <c r="G41" i="3"/>
  <c r="D42" i="3" a="1"/>
  <c r="D42" i="3" s="1"/>
  <c r="G42" i="3" a="1"/>
  <c r="G42" i="3" s="1"/>
  <c r="D43" i="3" a="1"/>
  <c r="D43" i="3"/>
  <c r="G43" i="3" a="1"/>
  <c r="G43" i="3" s="1"/>
  <c r="D44" i="3" a="1"/>
  <c r="D44" i="3"/>
  <c r="G44" i="3" a="1"/>
  <c r="G44" i="3"/>
  <c r="D45" i="3" a="1"/>
  <c r="D45" i="3"/>
  <c r="G45" i="3" a="1"/>
  <c r="G45" i="3"/>
  <c r="D46" i="3" a="1"/>
  <c r="D46" i="3"/>
  <c r="G46" i="3" a="1"/>
  <c r="G46" i="3"/>
  <c r="D47" i="3" a="1"/>
  <c r="D47" i="3"/>
  <c r="G47" i="3" a="1"/>
  <c r="G47" i="3" s="1"/>
  <c r="D48" i="3" a="1"/>
  <c r="D48" i="3" s="1"/>
  <c r="G48" i="3" a="1"/>
  <c r="G48" i="3"/>
  <c r="D49" i="3" a="1"/>
  <c r="D49" i="3" s="1"/>
  <c r="G49" i="3" a="1"/>
  <c r="G49" i="3"/>
  <c r="D50" i="3" a="1"/>
  <c r="D50" i="3"/>
  <c r="G50" i="3" a="1"/>
  <c r="G50" i="3"/>
  <c r="D51" i="3" a="1"/>
  <c r="D51" i="3"/>
  <c r="G51" i="3" a="1"/>
  <c r="G51" i="3"/>
  <c r="D52" i="3" a="1"/>
  <c r="D52" i="3"/>
  <c r="G52" i="3" a="1"/>
  <c r="G52" i="3"/>
  <c r="D53" i="3" a="1"/>
  <c r="D53" i="3" s="1"/>
  <c r="G53" i="3" a="1"/>
  <c r="G53" i="3" s="1"/>
  <c r="D54" i="3" a="1"/>
  <c r="D54" i="3"/>
  <c r="G54" i="3" a="1"/>
  <c r="G54" i="3" s="1"/>
  <c r="D55" i="3" a="1"/>
  <c r="D55" i="3"/>
  <c r="G55" i="3" a="1"/>
  <c r="G55" i="3"/>
  <c r="D56" i="3" a="1"/>
  <c r="D56" i="3"/>
  <c r="G56" i="3" a="1"/>
  <c r="G56" i="3"/>
  <c r="D57" i="3" a="1"/>
  <c r="D57" i="3"/>
  <c r="G57" i="3" a="1"/>
  <c r="G57" i="3"/>
  <c r="D58" i="3" a="1"/>
  <c r="D58" i="3"/>
  <c r="G58" i="3" a="1"/>
  <c r="G58" i="3" s="1"/>
  <c r="D59" i="3" a="1"/>
  <c r="D59" i="3" s="1"/>
  <c r="G59" i="3" a="1"/>
  <c r="G59" i="3"/>
  <c r="D60" i="3" a="1"/>
  <c r="D60" i="3" s="1"/>
  <c r="G60" i="3" a="1"/>
  <c r="G60" i="3"/>
  <c r="D61" i="3" a="1"/>
  <c r="D61" i="3"/>
  <c r="G61" i="3" a="1"/>
  <c r="G61" i="3" s="1"/>
  <c r="D62" i="3" a="1"/>
  <c r="D62" i="3"/>
  <c r="G62" i="3" a="1"/>
  <c r="G62" i="3"/>
  <c r="D63" i="3" a="1"/>
  <c r="D63" i="3"/>
  <c r="G63" i="3" a="1"/>
  <c r="G63" i="3"/>
  <c r="G2" i="3" a="1"/>
  <c r="G2" i="3" s="1"/>
  <c r="D2" i="3" a="1"/>
  <c r="D2" i="3" s="1"/>
  <c r="D3" i="2" a="1"/>
  <c r="D3" i="2" s="1"/>
  <c r="G3" i="2" a="1"/>
  <c r="G3" i="2" s="1"/>
  <c r="D4" i="2" a="1"/>
  <c r="D4" i="2" s="1"/>
  <c r="G4" i="2" a="1"/>
  <c r="G4" i="2" s="1"/>
  <c r="D5" i="2" a="1"/>
  <c r="D5" i="2" s="1"/>
  <c r="G5" i="2" a="1"/>
  <c r="G5" i="2"/>
  <c r="D6" i="2" a="1"/>
  <c r="D6" i="2"/>
  <c r="G6" i="2" a="1"/>
  <c r="G6" i="2"/>
  <c r="D7" i="2" a="1"/>
  <c r="D7" i="2"/>
  <c r="G7" i="2" a="1"/>
  <c r="G7" i="2"/>
  <c r="D8" i="2" a="1"/>
  <c r="D8" i="2"/>
  <c r="G8" i="2" a="1"/>
  <c r="G8" i="2" s="1"/>
  <c r="D9" i="2" a="1"/>
  <c r="D9" i="2" s="1"/>
  <c r="G9" i="2" a="1"/>
  <c r="G9" i="2" s="1"/>
  <c r="D10" i="2" a="1"/>
  <c r="D10" i="2" s="1"/>
  <c r="G10" i="2" a="1"/>
  <c r="G10" i="2" s="1"/>
  <c r="D11" i="2" a="1"/>
  <c r="D11" i="2"/>
  <c r="G11" i="2" a="1"/>
  <c r="G11" i="2"/>
  <c r="D12" i="2" a="1"/>
  <c r="D12" i="2"/>
  <c r="G12" i="2" a="1"/>
  <c r="G12" i="2"/>
  <c r="D13" i="2" a="1"/>
  <c r="D13" i="2"/>
  <c r="G13" i="2" a="1"/>
  <c r="G13" i="2"/>
  <c r="D14" i="2" a="1"/>
  <c r="D14" i="2" s="1"/>
  <c r="G14" i="2" a="1"/>
  <c r="G14" i="2" s="1"/>
  <c r="D15" i="2" a="1"/>
  <c r="D15" i="2" s="1"/>
  <c r="G15" i="2" a="1"/>
  <c r="G15" i="2" s="1"/>
  <c r="D16" i="2" a="1"/>
  <c r="D16" i="2" s="1"/>
  <c r="G16" i="2" a="1"/>
  <c r="G16" i="2"/>
  <c r="D17" i="2" a="1"/>
  <c r="D17" i="2"/>
  <c r="G17" i="2" a="1"/>
  <c r="G17" i="2"/>
  <c r="D18" i="2" a="1"/>
  <c r="D18" i="2"/>
  <c r="G18" i="2" a="1"/>
  <c r="G18" i="2"/>
  <c r="D19" i="2" a="1"/>
  <c r="D19" i="2"/>
  <c r="G19" i="2" a="1"/>
  <c r="G19" i="2" s="1"/>
  <c r="D20" i="2" a="1"/>
  <c r="D20" i="2" s="1"/>
  <c r="G20" i="2" a="1"/>
  <c r="G20" i="2" s="1"/>
  <c r="D21" i="2" a="1"/>
  <c r="D21" i="2" s="1"/>
  <c r="G21" i="2" a="1"/>
  <c r="G21" i="2" s="1"/>
  <c r="D22" i="2" a="1"/>
  <c r="D22" i="2"/>
  <c r="G22" i="2" a="1"/>
  <c r="G22" i="2"/>
  <c r="D23" i="2" a="1"/>
  <c r="D23" i="2"/>
  <c r="G23" i="2" a="1"/>
  <c r="G23" i="2"/>
  <c r="D24" i="2" a="1"/>
  <c r="D24" i="2"/>
  <c r="G24" i="2" a="1"/>
  <c r="G24" i="2"/>
  <c r="D25" i="2" a="1"/>
  <c r="D25" i="2" s="1"/>
  <c r="G25" i="2" a="1"/>
  <c r="G25" i="2" s="1"/>
  <c r="D26" i="2" a="1"/>
  <c r="D26" i="2" s="1"/>
  <c r="G26" i="2" a="1"/>
  <c r="G26" i="2" s="1"/>
  <c r="D27" i="2" a="1"/>
  <c r="D27" i="2" s="1"/>
  <c r="G27" i="2" a="1"/>
  <c r="G27" i="2"/>
  <c r="D28" i="2" a="1"/>
  <c r="D28" i="2"/>
  <c r="G28" i="2" a="1"/>
  <c r="G28" i="2"/>
  <c r="D29" i="2" a="1"/>
  <c r="D29" i="2"/>
  <c r="G29" i="2" a="1"/>
  <c r="G29" i="2"/>
  <c r="D30" i="2" a="1"/>
  <c r="D30" i="2"/>
  <c r="G30" i="2" a="1"/>
  <c r="G30" i="2" s="1"/>
  <c r="D31" i="2" a="1"/>
  <c r="D31" i="2" s="1"/>
  <c r="G31" i="2" a="1"/>
  <c r="G31" i="2" s="1"/>
  <c r="D32" i="2" a="1"/>
  <c r="D32" i="2" s="1"/>
  <c r="G32" i="2" a="1"/>
  <c r="G32" i="2" s="1"/>
  <c r="D33" i="2" a="1"/>
  <c r="D33" i="2"/>
  <c r="G33" i="2" a="1"/>
  <c r="G33" i="2"/>
  <c r="D34" i="2" a="1"/>
  <c r="D34" i="2"/>
  <c r="G34" i="2" a="1"/>
  <c r="G34" i="2"/>
  <c r="D35" i="2" a="1"/>
  <c r="D35" i="2"/>
  <c r="G35" i="2" a="1"/>
  <c r="G35" i="2"/>
  <c r="D36" i="2" a="1"/>
  <c r="D36" i="2" s="1"/>
  <c r="G36" i="2" a="1"/>
  <c r="G36" i="2" s="1"/>
  <c r="D37" i="2" a="1"/>
  <c r="D37" i="2" s="1"/>
  <c r="G37" i="2" a="1"/>
  <c r="G37" i="2" s="1"/>
  <c r="D38" i="2" a="1"/>
  <c r="D38" i="2" s="1"/>
  <c r="G38" i="2" a="1"/>
  <c r="G38" i="2"/>
  <c r="D39" i="2" a="1"/>
  <c r="D39" i="2"/>
  <c r="G39" i="2" a="1"/>
  <c r="G39" i="2"/>
  <c r="D40" i="2" a="1"/>
  <c r="D40" i="2"/>
  <c r="G40" i="2" a="1"/>
  <c r="G40" i="2"/>
  <c r="D41" i="2" a="1"/>
  <c r="D41" i="2"/>
  <c r="G41" i="2" a="1"/>
  <c r="G41" i="2" s="1"/>
  <c r="D42" i="2" a="1"/>
  <c r="D42" i="2" s="1"/>
  <c r="G42" i="2" a="1"/>
  <c r="G42" i="2" s="1"/>
  <c r="D43" i="2" a="1"/>
  <c r="D43" i="2" s="1"/>
  <c r="G43" i="2" a="1"/>
  <c r="G43" i="2" s="1"/>
  <c r="D44" i="2" a="1"/>
  <c r="D44" i="2"/>
  <c r="G44" i="2" a="1"/>
  <c r="G44" i="2"/>
  <c r="D45" i="2" a="1"/>
  <c r="D45" i="2"/>
  <c r="G45" i="2" a="1"/>
  <c r="G45" i="2"/>
  <c r="D46" i="2" a="1"/>
  <c r="D46" i="2"/>
  <c r="G46" i="2" a="1"/>
  <c r="G46" i="2"/>
  <c r="D47" i="2" a="1"/>
  <c r="D47" i="2" s="1"/>
  <c r="G47" i="2" a="1"/>
  <c r="G47" i="2" s="1"/>
  <c r="D48" i="2" a="1"/>
  <c r="D48" i="2" s="1"/>
  <c r="G48" i="2" a="1"/>
  <c r="G48" i="2" s="1"/>
  <c r="D49" i="2" a="1"/>
  <c r="D49" i="2" s="1"/>
  <c r="G49" i="2" a="1"/>
  <c r="G49" i="2"/>
  <c r="D50" i="2" a="1"/>
  <c r="D50" i="2"/>
  <c r="G50" i="2" a="1"/>
  <c r="G50" i="2"/>
  <c r="D51" i="2" a="1"/>
  <c r="D51" i="2"/>
  <c r="G51" i="2" a="1"/>
  <c r="G51" i="2"/>
  <c r="D52" i="2" a="1"/>
  <c r="D52" i="2"/>
  <c r="G52" i="2" a="1"/>
  <c r="G52" i="2" s="1"/>
  <c r="D53" i="2" a="1"/>
  <c r="D53" i="2" s="1"/>
  <c r="G53" i="2" a="1"/>
  <c r="G53" i="2" s="1"/>
  <c r="D54" i="2" a="1"/>
  <c r="D54" i="2" s="1"/>
  <c r="G54" i="2" a="1"/>
  <c r="G54" i="2" s="1"/>
  <c r="D55" i="2" a="1"/>
  <c r="D55" i="2" s="1"/>
  <c r="G55" i="2" a="1"/>
  <c r="G55" i="2"/>
  <c r="D56" i="2" a="1"/>
  <c r="D56" i="2"/>
  <c r="G56" i="2" a="1"/>
  <c r="G56" i="2"/>
  <c r="D57" i="2" a="1"/>
  <c r="D57" i="2"/>
  <c r="G57" i="2" a="1"/>
  <c r="G57" i="2"/>
  <c r="D58" i="2" a="1"/>
  <c r="D58" i="2" s="1"/>
  <c r="G58" i="2" a="1"/>
  <c r="G58" i="2" s="1"/>
  <c r="D59" i="2" a="1"/>
  <c r="D59" i="2" s="1"/>
  <c r="G59" i="2" a="1"/>
  <c r="G59" i="2" s="1"/>
  <c r="D60" i="2" a="1"/>
  <c r="D60" i="2" s="1"/>
  <c r="G60" i="2" a="1"/>
  <c r="G60" i="2"/>
  <c r="D61" i="2" a="1"/>
  <c r="D61" i="2"/>
  <c r="G61" i="2" a="1"/>
  <c r="G61" i="2"/>
  <c r="D62" i="2" a="1"/>
  <c r="D62" i="2"/>
  <c r="G62" i="2" a="1"/>
  <c r="G62" i="2"/>
  <c r="D63" i="2" a="1"/>
  <c r="D63" i="2"/>
  <c r="G63" i="2" a="1"/>
  <c r="G63" i="2" s="1"/>
  <c r="G2" i="2" a="1"/>
  <c r="G2" i="2" s="1"/>
  <c r="A2" i="6" l="1" a="1"/>
  <c r="A2" i="6" s="1"/>
  <c r="A2" i="5" a="1"/>
  <c r="A2" i="5" s="1"/>
  <c r="A2" i="4" a="1"/>
  <c r="A2" i="4" s="1"/>
  <c r="A2" i="3" a="1"/>
  <c r="A2" i="3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<sst xmlns="http://schemas.openxmlformats.org/spreadsheetml/2006/main" count="751" uniqueCount="487">
  <si>
    <t>Nom</t>
  </si>
  <si>
    <t>Prénom</t>
  </si>
  <si>
    <t>Début</t>
  </si>
  <si>
    <t>Fin</t>
  </si>
  <si>
    <t>Priorité 1</t>
  </si>
  <si>
    <t>Priorité 2</t>
  </si>
  <si>
    <t>Mardi</t>
  </si>
  <si>
    <t>Mercredi</t>
  </si>
  <si>
    <t>Jeudi</t>
  </si>
  <si>
    <t>Vendredi</t>
  </si>
  <si>
    <t>Samedi</t>
  </si>
  <si>
    <t>Dimanche</t>
  </si>
  <si>
    <t>Suzanne</t>
  </si>
  <si>
    <t>Lorde</t>
  </si>
  <si>
    <t>Twenty One Pilots</t>
  </si>
  <si>
    <t>Sam Sauvage</t>
  </si>
  <si>
    <t>The Last Dinner Party</t>
  </si>
  <si>
    <t>The Cure</t>
  </si>
  <si>
    <t>Disiz</t>
  </si>
  <si>
    <t>Theodora</t>
  </si>
  <si>
    <t>Gorillaz</t>
  </si>
  <si>
    <t>Yamê</t>
  </si>
  <si>
    <t>Keny Arkana</t>
  </si>
  <si>
    <t>Orelsan</t>
  </si>
  <si>
    <t>Adèle Castillon</t>
  </si>
  <si>
    <t>Vanessa Paradis</t>
  </si>
  <si>
    <t>Katy Perry</t>
  </si>
  <si>
    <t>Zaz</t>
  </si>
  <si>
    <t>Gims</t>
  </si>
  <si>
    <t>Timmy Trumpet</t>
  </si>
  <si>
    <t>Balu Brigada</t>
  </si>
  <si>
    <t>Asaf Avidan</t>
  </si>
  <si>
    <t>Perceval</t>
  </si>
  <si>
    <t>The Young Gods</t>
  </si>
  <si>
    <t>Feu! Chatterton</t>
  </si>
  <si>
    <t>Kompromat</t>
  </si>
  <si>
    <t>Miki</t>
  </si>
  <si>
    <t>Morcheeba</t>
  </si>
  <si>
    <t>Buraka Som Sistema</t>
  </si>
  <si>
    <t>Amelie Lens presents AURA</t>
  </si>
  <si>
    <t>Solann</t>
  </si>
  <si>
    <t>Björn Again</t>
  </si>
  <si>
    <t>Julien Clerc</t>
  </si>
  <si>
    <t>Mosimann</t>
  </si>
  <si>
    <t>Marguerite</t>
  </si>
  <si>
    <t>Helena</t>
  </si>
  <si>
    <t>Jok'Air</t>
  </si>
  <si>
    <t>Vald x Vladimir Cauchemar x Todiefor</t>
  </si>
  <si>
    <t>Carmina Burana</t>
  </si>
  <si>
    <t>Luiza</t>
  </si>
  <si>
    <t>Bob Sinclar</t>
  </si>
  <si>
    <t>Club Katel</t>
  </si>
  <si>
    <t>Dylan Dylan</t>
  </si>
  <si>
    <t>okgiorgio</t>
  </si>
  <si>
    <t>Upsilone</t>
  </si>
  <si>
    <t>Bound By Endogamy</t>
  </si>
  <si>
    <t>Zaatar</t>
  </si>
  <si>
    <t>Jen Cardini</t>
  </si>
  <si>
    <t>Kendal</t>
  </si>
  <si>
    <t>Braises de Velours</t>
  </si>
  <si>
    <t>Camille Doe</t>
  </si>
  <si>
    <t>riria</t>
  </si>
  <si>
    <t>Diffrent</t>
  </si>
  <si>
    <t>Estelle Zamme</t>
  </si>
  <si>
    <t>Legit Girl DJ</t>
  </si>
  <si>
    <t>DJ Schnake</t>
  </si>
  <si>
    <t>Urumi</t>
  </si>
  <si>
    <t>Marara Kelly</t>
  </si>
  <si>
    <t>Deize Tigrona &amp; DouceSoeur</t>
  </si>
  <si>
    <t>LinaPary</t>
  </si>
  <si>
    <t>Kabylie Minogue</t>
  </si>
  <si>
    <t>Esaïa</t>
  </si>
  <si>
    <t>Little Lion Sound &amp; Basta Lion</t>
  </si>
  <si>
    <t>Omega Nebula</t>
  </si>
  <si>
    <t>Roni Size</t>
  </si>
  <si>
    <t>Maustetytöt</t>
  </si>
  <si>
    <t>Skald</t>
  </si>
  <si>
    <t>Witch Club Satan</t>
  </si>
  <si>
    <t>Witch Club Satan (2ème)</t>
  </si>
  <si>
    <t>Asgeir</t>
  </si>
  <si>
    <t>Eivør</t>
  </si>
  <si>
    <t>Antti Paalanen</t>
  </si>
  <si>
    <t>Hindarfjäll</t>
  </si>
  <si>
    <t>Steve'N'Seagulls</t>
  </si>
  <si>
    <t>Värttinä</t>
  </si>
  <si>
    <t>Katarina Barruk</t>
  </si>
  <si>
    <t>Eihwar</t>
  </si>
  <si>
    <t>Trolska Polska</t>
  </si>
  <si>
    <t>Tarrak</t>
  </si>
  <si>
    <t>Teksti-TV 666</t>
  </si>
  <si>
    <t>Hialøsa</t>
  </si>
  <si>
    <t>Tuuletar</t>
  </si>
  <si>
    <t>Trolska Polska (2ème)</t>
  </si>
  <si>
    <t>Soft Loft</t>
  </si>
  <si>
    <t>DITTER</t>
  </si>
  <si>
    <t>Sprints</t>
  </si>
  <si>
    <t>Sam Quealy</t>
  </si>
  <si>
    <t>Nonante</t>
  </si>
  <si>
    <t>Sylvie Kreusch</t>
  </si>
  <si>
    <t>Max Baby</t>
  </si>
  <si>
    <t>St Graal</t>
  </si>
  <si>
    <t>Marie Jay</t>
  </si>
  <si>
    <t>Nusantara Beat</t>
  </si>
  <si>
    <t>Joshua Idehen</t>
  </si>
  <si>
    <t>Ino Casablanca</t>
  </si>
  <si>
    <t>Roxane</t>
  </si>
  <si>
    <t>Camille Yembe</t>
  </si>
  <si>
    <t>Sueilo</t>
  </si>
  <si>
    <t>Nashwa</t>
  </si>
  <si>
    <t>ETO</t>
  </si>
  <si>
    <t>La Valentina</t>
  </si>
  <si>
    <t>LinLin</t>
  </si>
  <si>
    <t>Dope Saint Jude</t>
  </si>
  <si>
    <t>Mo'Kalamity</t>
  </si>
  <si>
    <t>Open Season</t>
  </si>
  <si>
    <t>THK</t>
  </si>
  <si>
    <t>Priorité 3</t>
  </si>
  <si>
    <t>Prénom Nom</t>
  </si>
  <si>
    <t>mardi</t>
  </si>
  <si>
    <t>mercredi</t>
  </si>
  <si>
    <t>jeudi</t>
  </si>
  <si>
    <t>vendredi</t>
  </si>
  <si>
    <t>samedi</t>
  </si>
  <si>
    <t>dimanche</t>
  </si>
  <si>
    <t>ok BP</t>
  </si>
  <si>
    <t>Ana-Lou Ledru</t>
  </si>
  <si>
    <t>Iris Rakotonandrasana</t>
  </si>
  <si>
    <t>Twenty one pilots</t>
  </si>
  <si>
    <t>1- Theodora 2 - Gorillaz</t>
  </si>
  <si>
    <t>Oui</t>
  </si>
  <si>
    <t>Mickaël Pasche</t>
  </si>
  <si>
    <t>1. Asaf Avidan 2. Perceval</t>
  </si>
  <si>
    <t>1. The Cure 2. Feu Chatterton</t>
  </si>
  <si>
    <t>1. Gorillaz, 2. Theodora 3. Disiz</t>
  </si>
  <si>
    <t>1. Orelsan, 2. Yamê</t>
  </si>
  <si>
    <t>1. Katy Perry 2. Vald</t>
  </si>
  <si>
    <t>1. GIMS</t>
  </si>
  <si>
    <t>Si besoin</t>
  </si>
  <si>
    <t>Jolan Ruscio</t>
  </si>
  <si>
    <t>Vald x ....</t>
  </si>
  <si>
    <t>Auxence Magerand</t>
  </si>
  <si>
    <t>1. OKGiorgio 2. Ditter 3. Lorde</t>
  </si>
  <si>
    <t>1. The Cure 2. Feu Chatterton 3. Sam Sauvage</t>
  </si>
  <si>
    <t>1. Theodora 2. Gorillaz 3. Ino Casablanca</t>
  </si>
  <si>
    <t>1. Roxane 2. Urumi 3. Keny Arkana</t>
  </si>
  <si>
    <t>1. Vanessa Paradis 2. LinLin 3. Kabylie Minogue</t>
  </si>
  <si>
    <t>Noah Cherpillod</t>
  </si>
  <si>
    <t>1. Twenty one pilots</t>
  </si>
  <si>
    <t>Katy perry</t>
  </si>
  <si>
    <t>Raphaël Lacroze</t>
  </si>
  <si>
    <t>1 The Cure 2. Feu Chatterton 3Kompromat</t>
  </si>
  <si>
    <t>Theodora 2 Gorillaz 3Disiz</t>
  </si>
  <si>
    <t>.</t>
  </si>
  <si>
    <t>1.THK 2.Esaïa 3.Little lion</t>
  </si>
  <si>
    <t>En cas d'urgence</t>
  </si>
  <si>
    <t>Rama Aissaoui</t>
  </si>
  <si>
    <t>1. Perceval</t>
  </si>
  <si>
    <t>1. the cure</t>
  </si>
  <si>
    <t>1.Theodora 2Gorillaz 3 marie jay</t>
  </si>
  <si>
    <t>1 solann</t>
  </si>
  <si>
    <t>1. vladimir 2.adele 3 marguerite</t>
  </si>
  <si>
    <t>1. timmy trumpet</t>
  </si>
  <si>
    <t>Ysatis Menétrey</t>
  </si>
  <si>
    <t>1. Suzane 2. Lorde 3. Asaf Avidan</t>
  </si>
  <si>
    <t>1. Feu Chatterton 2. The Cure</t>
  </si>
  <si>
    <t>1. Gorillaz 2. Theodora</t>
  </si>
  <si>
    <t>1. Solann 2. Orelsan</t>
  </si>
  <si>
    <t>1. Héléna 2. Katy Perry 3. Marguerite</t>
  </si>
  <si>
    <t>1. Gims</t>
  </si>
  <si>
    <t>Tristan clerici</t>
  </si>
  <si>
    <t>1.perceval 2. twenty one pilots</t>
  </si>
  <si>
    <t>1.the cure2.st graal</t>
  </si>
  <si>
    <t>1.theodora 2.disiz 3.Gorillaz 4.miki</t>
  </si>
  <si>
    <t>1.orelsan 2.yamê 3.mosimann 4.solann</t>
  </si>
  <si>
    <t>1.vald 2.jok'air 3.katty perry</t>
  </si>
  <si>
    <t>plutot pas</t>
  </si>
  <si>
    <t>Nathalia Koux</t>
  </si>
  <si>
    <t>1.twenty one pilots</t>
  </si>
  <si>
    <t>1. St Graal 3.Sam sauvage</t>
  </si>
  <si>
    <t>1. theodora 2. gorilla</t>
  </si>
  <si>
    <t>1.Djschnake 2. Orelsan 3. Mosimann</t>
  </si>
  <si>
    <t>1. vanessa paradis 2.Katty perry 3. vladimir</t>
  </si>
  <si>
    <t>1. Luiza</t>
  </si>
  <si>
    <t>Anna Mallet</t>
  </si>
  <si>
    <t>1. Twenty one pilots, 2 Lorde</t>
  </si>
  <si>
    <t>1 the Cure 2 st graal 3 the last dinner partie</t>
  </si>
  <si>
    <t>1 Theodora 2 gorillaz 3 disiz</t>
  </si>
  <si>
    <t>1 Orelsan 2 yamê 3 mosiman</t>
  </si>
  <si>
    <t>1.Luiza 2. Gims 3 Zaz</t>
  </si>
  <si>
    <t>Agathe Bouvet</t>
  </si>
  <si>
    <t>1.Lord 2. Twenty one pilote</t>
  </si>
  <si>
    <t>1.The Cure 2. the last dinner party</t>
  </si>
  <si>
    <t>1.Theodora 2.Disiz 3.Ino casablanca</t>
  </si>
  <si>
    <t>1.Orelsan 2.Yamê</t>
  </si>
  <si>
    <t>1.Katy perry 2.Jok'air 3.Adele Castillon</t>
  </si>
  <si>
    <t>1. Gims 2. Zaz 3.Bob sinclar</t>
  </si>
  <si>
    <t>Léa Baltzinger</t>
  </si>
  <si>
    <t>1.Theodora 2. Gorillaz</t>
  </si>
  <si>
    <t>1.Katy Perry 2.Jok'air</t>
  </si>
  <si>
    <t>1.Bob Sinclar 2.Gims 3.Timmy Trumpet</t>
  </si>
  <si>
    <t>Morgane Scyboz</t>
  </si>
  <si>
    <t>Thibault Clerici</t>
  </si>
  <si>
    <t>1. Witch Club Satan</t>
  </si>
  <si>
    <t>1.theodora 2.Disiz</t>
  </si>
  <si>
    <t>1. Yame 2.orelsan</t>
  </si>
  <si>
    <t>1. Adele castillon</t>
  </si>
  <si>
    <t>1.Zaz</t>
  </si>
  <si>
    <t>Maya Corbelli</t>
  </si>
  <si>
    <t>1.theodora</t>
  </si>
  <si>
    <t>1.bjorn again 2.Yame</t>
  </si>
  <si>
    <t>1.adele Castillon</t>
  </si>
  <si>
    <t>Mireille Ménard</t>
  </si>
  <si>
    <t>1. the Cure</t>
  </si>
  <si>
    <t>1. Gorillaz</t>
  </si>
  <si>
    <t>1. Teksti-Tv 666</t>
  </si>
  <si>
    <t>1. Irikanto</t>
  </si>
  <si>
    <t>Bouvet</t>
  </si>
  <si>
    <t>Agathe</t>
  </si>
  <si>
    <t>Bulka</t>
  </si>
  <si>
    <t>Alegria Lily</t>
  </si>
  <si>
    <t>Bastian</t>
  </si>
  <si>
    <t>Alexandra</t>
  </si>
  <si>
    <t>L'Horset</t>
  </si>
  <si>
    <t>Alice</t>
  </si>
  <si>
    <t>Ledru</t>
  </si>
  <si>
    <t>Mallet</t>
  </si>
  <si>
    <t>Anna</t>
  </si>
  <si>
    <t>Malric</t>
  </si>
  <si>
    <t>Annouk</t>
  </si>
  <si>
    <t>Noël</t>
  </si>
  <si>
    <t>Antonin</t>
  </si>
  <si>
    <t>Tessier</t>
  </si>
  <si>
    <t>Arsène</t>
  </si>
  <si>
    <t>Uldry</t>
  </si>
  <si>
    <t>Arthur</t>
  </si>
  <si>
    <t>Marchand</t>
  </si>
  <si>
    <t>Athénaé</t>
  </si>
  <si>
    <t>Magerand</t>
  </si>
  <si>
    <t>Auxence</t>
  </si>
  <si>
    <t>Baruch</t>
  </si>
  <si>
    <t>Ava</t>
  </si>
  <si>
    <t>Detrain</t>
  </si>
  <si>
    <t>Benoît</t>
  </si>
  <si>
    <t>Meige</t>
  </si>
  <si>
    <t>Corentin</t>
  </si>
  <si>
    <t>De Filippo</t>
  </si>
  <si>
    <t>Emma</t>
  </si>
  <si>
    <t>Prouvost</t>
  </si>
  <si>
    <t>Eugénie</t>
  </si>
  <si>
    <t xml:space="preserve">Rakotonandrasana </t>
  </si>
  <si>
    <t>Iris</t>
  </si>
  <si>
    <t>Bürgisser</t>
  </si>
  <si>
    <t>Jamilah</t>
  </si>
  <si>
    <t>Ruscio</t>
  </si>
  <si>
    <t>Jolan</t>
  </si>
  <si>
    <t>Wuilloud</t>
  </si>
  <si>
    <t xml:space="preserve">Jonas </t>
  </si>
  <si>
    <t>Pirolley</t>
  </si>
  <si>
    <t>Jules</t>
  </si>
  <si>
    <t>Chavaillaz</t>
  </si>
  <si>
    <t>Julie</t>
  </si>
  <si>
    <t>Oeschger</t>
  </si>
  <si>
    <t>Kristel</t>
  </si>
  <si>
    <t>Baltzinger</t>
  </si>
  <si>
    <t>Léa</t>
  </si>
  <si>
    <t>Chambaz</t>
  </si>
  <si>
    <t>Jaquet</t>
  </si>
  <si>
    <t>Lisa</t>
  </si>
  <si>
    <t>Magnin</t>
  </si>
  <si>
    <t>Cardis</t>
  </si>
  <si>
    <t>Louis</t>
  </si>
  <si>
    <t>Post</t>
  </si>
  <si>
    <t>Blanchard</t>
  </si>
  <si>
    <t>Louise</t>
  </si>
  <si>
    <t>Chastroux</t>
  </si>
  <si>
    <t>Lucas</t>
  </si>
  <si>
    <t>Meyer</t>
  </si>
  <si>
    <t>Lucie</t>
  </si>
  <si>
    <t>Ménétrey</t>
  </si>
  <si>
    <t>Maëlan</t>
  </si>
  <si>
    <t>Maëlle</t>
  </si>
  <si>
    <t>Felix</t>
  </si>
  <si>
    <t>Marius</t>
  </si>
  <si>
    <t>Marot</t>
  </si>
  <si>
    <t>Cuinet</t>
  </si>
  <si>
    <t>Mathis</t>
  </si>
  <si>
    <t>Gavin</t>
  </si>
  <si>
    <t>Matteo</t>
  </si>
  <si>
    <t>Debray</t>
  </si>
  <si>
    <t>Maxime</t>
  </si>
  <si>
    <t>Corbelli</t>
  </si>
  <si>
    <t>Maya</t>
  </si>
  <si>
    <t>Pasche</t>
  </si>
  <si>
    <t>Mickaël</t>
  </si>
  <si>
    <t>Ménard</t>
  </si>
  <si>
    <t>Mireille</t>
  </si>
  <si>
    <t>Fargues</t>
  </si>
  <si>
    <t>Morgana</t>
  </si>
  <si>
    <t>Scyboz (Lambelet)</t>
  </si>
  <si>
    <t>Morgane</t>
  </si>
  <si>
    <t>Koux</t>
  </si>
  <si>
    <t>Nathalia</t>
  </si>
  <si>
    <t>Cherpillod</t>
  </si>
  <si>
    <t>Noah</t>
  </si>
  <si>
    <t>Patrick</t>
  </si>
  <si>
    <t>Assaoui</t>
  </si>
  <si>
    <t>Rama</t>
  </si>
  <si>
    <t>Lacroze</t>
  </si>
  <si>
    <t>Raphaël</t>
  </si>
  <si>
    <t>Neidhart</t>
  </si>
  <si>
    <t>Raphaëlle</t>
  </si>
  <si>
    <t xml:space="preserve">Lanni </t>
  </si>
  <si>
    <t>Roxanne</t>
  </si>
  <si>
    <t>Schiesser</t>
  </si>
  <si>
    <t>Sébastien</t>
  </si>
  <si>
    <t>Lambelet</t>
  </si>
  <si>
    <t>Simon</t>
  </si>
  <si>
    <t>Cyprien</t>
  </si>
  <si>
    <t>Theo</t>
  </si>
  <si>
    <t>Clerici</t>
  </si>
  <si>
    <t>Thibault</t>
  </si>
  <si>
    <t>Titouan</t>
  </si>
  <si>
    <t>Tristan</t>
  </si>
  <si>
    <t>Bally</t>
  </si>
  <si>
    <t>Yann</t>
  </si>
  <si>
    <t>Ysatis</t>
  </si>
  <si>
    <t>1. Twenty-one-pilots/ 2. Lorde/ 3. Asaf Avidan</t>
  </si>
  <si>
    <t>1. The Cure</t>
  </si>
  <si>
    <t>1.Théodora/ 2.Gorillaz/ 3.Disiz</t>
  </si>
  <si>
    <t>1. Mosimann/ 2. Orelsan</t>
  </si>
  <si>
    <t>1. Katy Perry/ 2. Jok'air/ 3. Adele Castillon</t>
  </si>
  <si>
    <t>1.Bob sinclar/2.Timmy Trumpet/3. GIMS</t>
  </si>
  <si>
    <t>Non</t>
  </si>
  <si>
    <t>1. Twenty one pilots 2. witch club satan</t>
  </si>
  <si>
    <t>1. Keny Arkana 2. Solann</t>
  </si>
  <si>
    <t>1. La Valentina</t>
  </si>
  <si>
    <t>1 little lion sound system &amp; basta lion 2 mo'kalamity</t>
  </si>
  <si>
    <t>1 Adèle castillon 2 Katy Perry 3 jok'air</t>
  </si>
  <si>
    <t>1.Twenty One pilotes 2. Perceval</t>
  </si>
  <si>
    <t>1. Sprints 2. Blue Brigada</t>
  </si>
  <si>
    <t>non</t>
  </si>
  <si>
    <t>Emma De Filippo</t>
  </si>
  <si>
    <t>1. Skald 2. Lorde</t>
  </si>
  <si>
    <t>1. Sam Sauvage 2. Eivør</t>
  </si>
  <si>
    <t>1. Buraka Som Sistema 2. Gorillaz</t>
  </si>
  <si>
    <t>1. Eihwar 2. Solann</t>
  </si>
  <si>
    <t>1. La Valentina 2. Deize Tigrona</t>
  </si>
  <si>
    <t>1. Tuuletar</t>
  </si>
  <si>
    <t>Maëlan Menétrey</t>
  </si>
  <si>
    <t>1. Asaf Avidan, 2. Lorde, 3. Twenty one pilots</t>
  </si>
  <si>
    <t>1. Feu Chatterton, 2. the Cure, 3. the last dinner party</t>
  </si>
  <si>
    <t>1. Gorillaz, 2. Theodora, 3. Morcheeba</t>
  </si>
  <si>
    <t>1. Orelsan, 2. Yame</t>
  </si>
  <si>
    <t>1. Katy Perry, 2. Marguerite</t>
  </si>
  <si>
    <t>Roxanne Lanni</t>
  </si>
  <si>
    <t>1. Twenty one pilots 2. Asaf Avidan</t>
  </si>
  <si>
    <t>1. Feu Chatterton</t>
  </si>
  <si>
    <t>1. Disiz</t>
  </si>
  <si>
    <t>1. Orelsan</t>
  </si>
  <si>
    <t>1. Katy Perry 2. Jok'air 3.ValdxVladxTod</t>
  </si>
  <si>
    <t>1.Bob Sinclar 2.Gims</t>
  </si>
  <si>
    <t>Lisa JAQUET</t>
  </si>
  <si>
    <t>1 suzanne 2 skald</t>
  </si>
  <si>
    <t>1 Feu 2 Eivor</t>
  </si>
  <si>
    <t>Vald</t>
  </si>
  <si>
    <t>timmy trumpet</t>
  </si>
  <si>
    <t>Alice L'Horset</t>
  </si>
  <si>
    <t>1.Twenty one pilots 2.Perceval 3.Asaf Avidan</t>
  </si>
  <si>
    <t>1The Cure 2.Feu Chatterton 3.Kompromat</t>
  </si>
  <si>
    <t>1.Théodora &lt;3 2.Gorillaz</t>
  </si>
  <si>
    <t>1Vanessa Paradis 2.Adèle Castillon-Katy Perry 3.Vladimir cauchemar</t>
  </si>
  <si>
    <t>1.Luiza 2.hialosa</t>
  </si>
  <si>
    <t>Titouan Menétrey</t>
  </si>
  <si>
    <t>1. Feu! Chatterton 2. The Cure 3. The last Dinner Party</t>
  </si>
  <si>
    <t>1. Theodora 2. Gorillaz</t>
  </si>
  <si>
    <t>1. Katy Perry 2. Marguerite</t>
  </si>
  <si>
    <t>Théo CYPRIEN</t>
  </si>
  <si>
    <t>1. Twenty one pilots 2. Perceval 3 Asaf avidan</t>
  </si>
  <si>
    <t>1. Kompromat 2. The cure 3. Feu! Chatterton</t>
  </si>
  <si>
    <t>1. Orelsan 2. Yame</t>
  </si>
  <si>
    <t>1. Vanessa paradis 2. Adele castillon</t>
  </si>
  <si>
    <t>1. Mo'kalamity 2 luiza</t>
  </si>
  <si>
    <t>Louis Cardis</t>
  </si>
  <si>
    <t>1.Twenty one Pilots 2.Asaf Avidan 3.Perceval</t>
  </si>
  <si>
    <t>1.The Cure 2.Feu Chatterton</t>
  </si>
  <si>
    <t>1.Theodora 2.Gorillaz 3.steeve'n'Seagulls</t>
  </si>
  <si>
    <t>1. Vald 2. Katy perry 3. Adele Castilllon</t>
  </si>
  <si>
    <t>1 gims 2 Luiza</t>
  </si>
  <si>
    <t>Ava Baruch</t>
  </si>
  <si>
    <t>1. Twenty one pilots 2. Perceval</t>
  </si>
  <si>
    <t>1. The Cure 2. The last dinner party</t>
  </si>
  <si>
    <t>1. Theodora 2. Ino Casablanca 3. Gorillaz</t>
  </si>
  <si>
    <t>1. Jok'air 2. Katy Perry 3. Vanessa Paradis</t>
  </si>
  <si>
    <t>1. Bob Sinclair</t>
  </si>
  <si>
    <t>Morgana Fargues</t>
  </si>
  <si>
    <t>1. Suzane 2. Perceval</t>
  </si>
  <si>
    <t>Bound by endogamy</t>
  </si>
  <si>
    <t>Athénaé Marchand</t>
  </si>
  <si>
    <t>Feu Chatterton</t>
  </si>
  <si>
    <t>1. Katy Perry 2. Vanessa Paradis</t>
  </si>
  <si>
    <t>Mathis Cuinet</t>
  </si>
  <si>
    <t>Feu chatterton</t>
  </si>
  <si>
    <t>Katty Perry</t>
  </si>
  <si>
    <t>Alegria Bulka</t>
  </si>
  <si>
    <t>1. Asaf Avidan 2. Lorde 3. Twenty one pilots</t>
  </si>
  <si>
    <t>1. The Cure, 2. Feu Chatteron</t>
  </si>
  <si>
    <t>1. Theodora, 2. Disiz, 3. Gorillaz</t>
  </si>
  <si>
    <t>1. Orelsan, 2. Yame, 3. Keny Arkana</t>
  </si>
  <si>
    <t>1. Katy Perry, 2. Jokair 3. Adele Castillon</t>
  </si>
  <si>
    <t>1. Gims, 2. Bob sinclar, 3. Timmy trumpets</t>
  </si>
  <si>
    <t>Annouk Malric</t>
  </si>
  <si>
    <t>Suzane, twenty one pilots</t>
  </si>
  <si>
    <t>The cure, feu! Chatterton</t>
  </si>
  <si>
    <t>Theodora, ino Casablanca, disiz</t>
  </si>
  <si>
    <t>Keny Arkana, Yamé, orelsan</t>
  </si>
  <si>
    <t>Jok'air, Katy Perry, Adèle castillon</t>
  </si>
  <si>
    <t>Gims, zaz, Omega nebula</t>
  </si>
  <si>
    <t>Tessier Arsène</t>
  </si>
  <si>
    <t>1. twenty one pilots, 2. Asaf Avidan 3 Lorde</t>
  </si>
  <si>
    <t>1. Théodora, 2. Gorillaz, 3. Disiz</t>
  </si>
  <si>
    <t>1. Mosiman 2. Orelsan</t>
  </si>
  <si>
    <t>1. katy Perry, 2. Jok'air, 3. adèle castillon</t>
  </si>
  <si>
    <t>1. Bob sinclar 2. timmy trumpet 3. gims</t>
  </si>
  <si>
    <t>Antonin Noël</t>
  </si>
  <si>
    <t>rien</t>
  </si>
  <si>
    <t>nonante</t>
  </si>
  <si>
    <t>1. disiz 2. ino 3. miki</t>
  </si>
  <si>
    <t>Yame</t>
  </si>
  <si>
    <t>bob sinclar</t>
  </si>
  <si>
    <t>Jules Pirolley</t>
  </si>
  <si>
    <t>1.the cure</t>
  </si>
  <si>
    <t>1. Orelsan 2.DJ SCHNAKE</t>
  </si>
  <si>
    <t>1. Katy Perry, 2. Jokair 3.valdxvladimir cauchemar 4.Adele Castillon</t>
  </si>
  <si>
    <t>1bob sinclar 2. timmy trumpet 3gims</t>
  </si>
  <si>
    <t>Option 1</t>
  </si>
  <si>
    <t>Corentin Meige</t>
  </si>
  <si>
    <t>asaf Avidan</t>
  </si>
  <si>
    <t>feu chatterton</t>
  </si>
  <si>
    <t>orelsan</t>
  </si>
  <si>
    <t>linapary</t>
  </si>
  <si>
    <t>luiza</t>
  </si>
  <si>
    <t>Arthur Uldry</t>
  </si>
  <si>
    <t>-</t>
  </si>
  <si>
    <t>1. Steve 'n' seagulls 2. Theodora 3. Gorillaz</t>
  </si>
  <si>
    <t>1. Orelasan</t>
  </si>
  <si>
    <t>Simon Lambelet</t>
  </si>
  <si>
    <t>1. Sam sauvage 2.feu Chatterton</t>
  </si>
  <si>
    <t>1 ZAZ 2 Carmina Burana</t>
  </si>
  <si>
    <t>Alexandra Scyboz</t>
  </si>
  <si>
    <t>Raphaëlle Neidhart</t>
  </si>
  <si>
    <t>1. Sprints 2. Sam Quealy 3. Soft Loft</t>
  </si>
  <si>
    <t>1. Sam Sauvage 2. The Cure (je les aime trop) 3. The last dinner party</t>
  </si>
  <si>
    <t>1. Katarina Barruk 2. Solenn 3. nashwa</t>
  </si>
  <si>
    <t>1. Teksti TV666</t>
  </si>
  <si>
    <t>Lucas Chastroux</t>
  </si>
  <si>
    <t>Louis Post</t>
  </si>
  <si>
    <t>1. Twenty one pilots 2. Asaf Avidan 3. Lord</t>
  </si>
  <si>
    <t>1. The Cure 2. Feu Chatteron</t>
  </si>
  <si>
    <t>1. Gorillaz 2. Theodora 3. Disiz</t>
  </si>
  <si>
    <t>1. Jokair 2. adele castillon</t>
  </si>
  <si>
    <t>1. Gims 2. Bob sinclar</t>
  </si>
  <si>
    <t>tician lagier</t>
  </si>
  <si>
    <t>1.asaf avidan 2. 21 pilots 3.lorde</t>
  </si>
  <si>
    <t>1the cure 2. feu chaterton</t>
  </si>
  <si>
    <t>1.gorillaz 2theodora 3.Miki</t>
  </si>
  <si>
    <t>1orelsan</t>
  </si>
  <si>
    <t>1katy perry 2.jokair 3. adele castillon</t>
  </si>
  <si>
    <t>1gims 2Bob sinclar</t>
  </si>
  <si>
    <t>Yann Bally</t>
  </si>
  <si>
    <t>1.Asaf Avidan 2.Lorde</t>
  </si>
  <si>
    <t>1. The Cure 2. Feu Chatterton.</t>
  </si>
  <si>
    <t>1. Riria 2, Theodora</t>
  </si>
  <si>
    <t>1. DJ Schnake</t>
  </si>
  <si>
    <t>1. Lina Pary</t>
  </si>
  <si>
    <t>Ana-Lou</t>
  </si>
  <si>
    <t>Pero</t>
  </si>
  <si>
    <t>Andy</t>
  </si>
  <si>
    <t>Lagier</t>
  </si>
  <si>
    <t>Tician</t>
  </si>
  <si>
    <t>Alex</t>
  </si>
  <si>
    <t>Delassus</t>
  </si>
  <si>
    <t>Frank</t>
  </si>
  <si>
    <t>Rieger</t>
  </si>
  <si>
    <t>Michel</t>
  </si>
  <si>
    <t>Mehdi</t>
  </si>
  <si>
    <t>Durand</t>
  </si>
  <si>
    <t>Sacha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</si>
</sst>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sz val="10"/>
      <color rgb="FF11734B"/>
      <name val="Arial"/>
      <family val="2"/>
    </font>
    <font>
      <sz val="10"/>
      <color rgb="FF3D3D3D"/>
      <name val="Arial"/>
      <family val="2"/>
    </font>
    <font>
      <sz val="10"/>
      <color rgb="FFB10202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0" fontId="0" fillId="0" borderId="0" xfId="0" applyNumberFormat="1" applyAlignment="1">
      <alignment horizontal="right"/>
    </xf>
    <xf numFmtId="20" fontId="1" fillId="0" borderId="0" xfId="0" applyNumberFormat="1" applyFont="1" applyAlignment="1">
      <alignment horizontal="right"/>
    </xf>
    <xf numFmtId="0" fontId="1" fillId="2" borderId="0" xfId="0" applyFont="1" applyFill="1"/>
    <xf numFmtId="20" fontId="1" fillId="2" borderId="0" xfId="0" applyNumberFormat="1" applyFont="1" applyFill="1" applyAlignment="1">
      <alignment horizontal="right"/>
    </xf>
    <xf numFmtId="0" fontId="1" fillId="3" borderId="0" xfId="0" applyFont="1" applyFill="1"/>
    <xf numFmtId="20" fontId="1" fillId="3" borderId="0" xfId="0" applyNumberFormat="1" applyFont="1" applyFill="1" applyAlignment="1">
      <alignment horizontal="right"/>
    </xf>
    <xf numFmtId="0" fontId="1" fillId="4" borderId="0" xfId="0" applyFont="1" applyFill="1"/>
    <xf numFmtId="20" fontId="1" fillId="4" borderId="0" xfId="0" applyNumberFormat="1" applyFont="1" applyFill="1" applyAlignment="1">
      <alignment horizontal="right"/>
    </xf>
    <xf numFmtId="0" fontId="1" fillId="5" borderId="0" xfId="0" applyFont="1" applyFill="1"/>
    <xf numFmtId="20" fontId="1" fillId="5" borderId="0" xfId="0" applyNumberFormat="1" applyFont="1" applyFill="1" applyAlignment="1">
      <alignment horizontal="right"/>
    </xf>
    <xf numFmtId="0" fontId="1" fillId="6" borderId="0" xfId="0" applyFont="1" applyFill="1"/>
    <xf numFmtId="20" fontId="1" fillId="6" borderId="0" xfId="0" applyNumberFormat="1" applyFont="1" applyFill="1" applyAlignment="1">
      <alignment horizontal="right"/>
    </xf>
    <xf numFmtId="0" fontId="1" fillId="7" borderId="0" xfId="0" applyFont="1" applyFill="1"/>
    <xf numFmtId="20" fontId="1" fillId="7" borderId="0" xfId="0" applyNumberFormat="1" applyFont="1" applyFill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18">
    <dxf>
      <font>
        <strike val="0"/>
      </font>
      <fill>
        <patternFill>
          <bgColor theme="4" tint="0.79998168889431442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  <dxf>
      <numFmt numFmtId="25" formatCode="hh:mm"/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21772</xdr:colOff>
      <xdr:row>1</xdr:row>
      <xdr:rowOff>0</xdr:rowOff>
    </xdr:from>
    <xdr:to>
      <xdr:col>17</xdr:col>
      <xdr:colOff>20866</xdr:colOff>
      <xdr:row>17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ACFFAD-811D-45C8-9F77-69E185FD94C0}"/>
            </a:ext>
          </a:extLst>
        </xdr:cNvPr>
        <xdr:cNvSpPr txBox="1"/>
      </xdr:nvSpPr>
      <xdr:spPr>
        <a:xfrm>
          <a:off x="8697686" y="185057"/>
          <a:ext cx="3264809" cy="296091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 baseline="0"/>
            <a:t>Blocages</a:t>
          </a:r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800" b="0" i="1" u="none" baseline="0"/>
            <a:t>(liste des voeux)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="0" baseline="0"/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Choisir les voeux de priorité 1 et 2 pour le mardi.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Les heures du concert s'affichent automatiquement.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 solveur du planning travaille selon les règles suivantes: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tous les shifts doivent être rempli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la priorité 1 est si possible garantie et complète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les priorités 2 &amp; 3 peuvent être tronquées en partie ou complétement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16328</xdr:colOff>
      <xdr:row>1</xdr:row>
      <xdr:rowOff>0</xdr:rowOff>
    </xdr:from>
    <xdr:to>
      <xdr:col>17</xdr:col>
      <xdr:colOff>15422</xdr:colOff>
      <xdr:row>16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5B1C3C-617C-4D73-873D-600CCD1DCFE2}"/>
            </a:ext>
          </a:extLst>
        </xdr:cNvPr>
        <xdr:cNvSpPr txBox="1"/>
      </xdr:nvSpPr>
      <xdr:spPr>
        <a:xfrm>
          <a:off x="8692242" y="185057"/>
          <a:ext cx="3264809" cy="295365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 baseline="0"/>
            <a:t>Blocages</a:t>
          </a:r>
          <a:endParaRPr lang="en-GB" sz="1400" b="1" u="sng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800" b="0" i="1" u="none" baseline="0"/>
            <a:t>(liste des voeux)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="0" baseline="0"/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Choisir les voeux de priorité 1 et 2 pour le mercredi.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Les heures du concert s'affichent automatiquement.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 solveur du planning travaille selon les règles suivantes: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tous les shifts doivent être rempli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la priorité 1 est si possible garantie et complète</a:t>
          </a:r>
        </a:p>
        <a:p>
          <a:pPr marL="628650" lvl="1" indent="-171450">
            <a:buFont typeface="Arial" panose="020B0604020202020204" pitchFamily="34" charset="0"/>
            <a:buChar char="•"/>
          </a:pP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 priorités 2 &amp; 3 peuvent être tronquées en partie ou complétement</a:t>
          </a:r>
          <a:endParaRPr lang="en-GB" sz="11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16330</xdr:colOff>
      <xdr:row>1</xdr:row>
      <xdr:rowOff>0</xdr:rowOff>
    </xdr:from>
    <xdr:to>
      <xdr:col>17</xdr:col>
      <xdr:colOff>15424</xdr:colOff>
      <xdr:row>17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97FF9D-9F09-4594-BC8A-B2A4EB05AB18}"/>
            </a:ext>
          </a:extLst>
        </xdr:cNvPr>
        <xdr:cNvSpPr txBox="1"/>
      </xdr:nvSpPr>
      <xdr:spPr>
        <a:xfrm>
          <a:off x="8692244" y="185057"/>
          <a:ext cx="3264809" cy="297361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 baseline="0"/>
            <a:t>Blocages</a:t>
          </a:r>
          <a:endParaRPr lang="en-GB" sz="1400" b="1" u="sng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800" b="0" i="1" u="none" baseline="0"/>
            <a:t>(liste des voeux)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="0" baseline="0"/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Choisir les voeux de priorité 1 et 2 pour le jeudi.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Les heures du concert s'affichent automatiquement.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 solveur du planning travaille selon les règles suivantes: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tous les shifts doivent être rempli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la priorité 1 est si possible garantie et complète</a:t>
          </a:r>
        </a:p>
        <a:p>
          <a:pPr marL="628650" marR="0" lvl="1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 priorités 2 &amp; 3 peuvent être tronquées en partie ou complétement</a:t>
          </a:r>
          <a:endParaRPr lang="en-GB" sz="11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21772</xdr:colOff>
      <xdr:row>1</xdr:row>
      <xdr:rowOff>0</xdr:rowOff>
    </xdr:from>
    <xdr:to>
      <xdr:col>17</xdr:col>
      <xdr:colOff>20866</xdr:colOff>
      <xdr:row>17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4F98B7-A475-4F22-AF33-F1F72B2E7483}"/>
            </a:ext>
          </a:extLst>
        </xdr:cNvPr>
        <xdr:cNvSpPr txBox="1"/>
      </xdr:nvSpPr>
      <xdr:spPr>
        <a:xfrm>
          <a:off x="8697686" y="185057"/>
          <a:ext cx="3264809" cy="296726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 baseline="0"/>
            <a:t>Blocages</a:t>
          </a:r>
          <a:endParaRPr lang="en-GB" sz="1400" b="1" u="sng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800" b="0" i="1" u="none" baseline="0"/>
            <a:t>(liste des voeux)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="0" baseline="0"/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Choisir les voeux de priorité 1 et 2 pour le vendredi.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Les heures du concert s'affichent automatiquement.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 solveur du planning travaille selon les règles suivantes: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tous les shifts doivent être rempli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la priorité 1 est si possible garantie et complète</a:t>
          </a:r>
        </a:p>
        <a:p>
          <a:pPr marL="628650" marR="0" lvl="1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 priorités 2 &amp; 3 peuvent être tronquées en partie ou complétement</a:t>
          </a:r>
          <a:endParaRPr lang="en-GB" sz="1100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5443</xdr:colOff>
      <xdr:row>1</xdr:row>
      <xdr:rowOff>0</xdr:rowOff>
    </xdr:from>
    <xdr:to>
      <xdr:col>17</xdr:col>
      <xdr:colOff>4537</xdr:colOff>
      <xdr:row>17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6ADDE9-8219-434D-99DA-C3102C600F2F}"/>
            </a:ext>
          </a:extLst>
        </xdr:cNvPr>
        <xdr:cNvSpPr txBox="1"/>
      </xdr:nvSpPr>
      <xdr:spPr>
        <a:xfrm>
          <a:off x="8681357" y="185057"/>
          <a:ext cx="3264809" cy="296091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 baseline="0"/>
            <a:t>Blocages</a:t>
          </a:r>
          <a:endParaRPr lang="en-GB" sz="1400" b="1" u="sng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800" b="0" i="1" u="none" baseline="0"/>
            <a:t>(liste des voeux)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="0" baseline="0"/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Choisir les voeux de priorité 1 et 2 pour le samedi.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Les heures du concert s'affichent automatiquement.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 solveur du planning travaille selon les règles suivantes: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tous les shifts doivent être rempli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la priorité 1 est si possible garantie et complète</a:t>
          </a:r>
        </a:p>
        <a:p>
          <a:pPr marL="628650" marR="0" lvl="1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 priorités 2 &amp; 3 peuvent être tronquées en partie ou complétement</a:t>
          </a:r>
          <a:endParaRPr lang="en-GB" sz="1100"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5443</xdr:colOff>
      <xdr:row>1</xdr:row>
      <xdr:rowOff>0</xdr:rowOff>
    </xdr:from>
    <xdr:to>
      <xdr:col>17</xdr:col>
      <xdr:colOff>4537</xdr:colOff>
      <xdr:row>17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FFB5A-A427-428B-B77A-A10E7AD6FDEE}"/>
            </a:ext>
          </a:extLst>
        </xdr:cNvPr>
        <xdr:cNvSpPr txBox="1"/>
      </xdr:nvSpPr>
      <xdr:spPr>
        <a:xfrm>
          <a:off x="8681357" y="185057"/>
          <a:ext cx="3264809" cy="2960914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 baseline="0"/>
            <a:t>Blocages</a:t>
          </a:r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800" b="0" i="1" u="none" baseline="0"/>
            <a:t>(liste des voeux)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="0" baseline="0"/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Choisir les voeux de priorité 1 et 2 pour le dimanche.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Les heures du concert s'affichent automatiquement.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Le solveur du planning travaille selon les règles suivantes: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tous les shifts doivent être rempli</a:t>
          </a:r>
        </a:p>
        <a:p>
          <a:pPr marL="628650" lvl="1" indent="-171450" algn="l">
            <a:buFont typeface="Arial" panose="020B0604020202020204" pitchFamily="34" charset="0"/>
            <a:buChar char="•"/>
          </a:pPr>
          <a:r>
            <a:rPr lang="en-GB" sz="1100" b="0" baseline="0"/>
            <a:t>la priorité 1 est si possible garantie et complète</a:t>
          </a:r>
        </a:p>
        <a:p>
          <a:pPr marL="628650" marR="0" lvl="1" indent="-1714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 priorités 2 &amp; 3 peuvent être tronquées en partie ou complétement</a:t>
          </a:r>
          <a:endParaRPr lang="en-GB" sz="1100"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leofestival.sharepoint.com/sites/production-bureau/Documents%20partages/2026/12_La%20Ruche/05.%20Benevoles/BENEVOLES26.xlsx" TargetMode="External"/><Relationship Id="rId1" Type="http://schemas.openxmlformats.org/officeDocument/2006/relationships/externalLinkPath" Target="https://paleofestival.sharepoint.com/sites/production-bureau/Documents%20partages/2026/12_La%20Ruche/05.%20Benevoles/BENEVOLES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BjAUxqoWE6QOgha1nIqM0V4_Meb285DqubVsc72iVxI8pqExa90QoHiOkiah1n_" itemId="01SFD3M6U4VY5SF5PF7ZDIEF7PJBD6LY7Y">
      <xxl21:absoluteUrl r:id="rId2"/>
    </xxl21:alternateUrls>
    <sheetNames>
      <sheetName val="Bénévoles 2026 V2"/>
      <sheetName val="Drop-downs"/>
      <sheetName val="Bénévoles_2026"/>
      <sheetName val="Téléphones_2026"/>
      <sheetName val="Bénévoles_2025"/>
      <sheetName val="Appel"/>
      <sheetName val="Bénévoles_2024"/>
      <sheetName val="Bénévoles_2022"/>
      <sheetName val="Bénévoles_2020"/>
      <sheetName val="Bénévoles_2019NEW (2)"/>
      <sheetName val="Liste attente 2019"/>
      <sheetName val="Bénévoles_2019"/>
      <sheetName val="Bénévoles_2018"/>
      <sheetName val="Bénévoles_17"/>
      <sheetName val="Bénévoles_16"/>
      <sheetName val="Bénévoles_15"/>
      <sheetName val="Bénévoles_14"/>
      <sheetName val="Bénévoles_13"/>
      <sheetName val="Présence_16"/>
      <sheetName val="Téléphones"/>
      <sheetName val="Tél__grande_liste"/>
      <sheetName val="Concerts_p1"/>
      <sheetName val="Concerts_p2"/>
      <sheetName val="Liste__prénom"/>
      <sheetName val="Bénévoles_12"/>
    </sheetNames>
    <sheetDataSet>
      <sheetData sheetId="0">
        <row r="3">
          <cell r="B3" t="str">
            <v>In</v>
          </cell>
          <cell r="E3" t="str">
            <v>NOM</v>
          </cell>
          <cell r="F3" t="str">
            <v>PRÉNOM</v>
          </cell>
        </row>
        <row r="4">
          <cell r="B4" t="b">
            <v>1</v>
          </cell>
          <cell r="E4" t="str">
            <v>Bouvet</v>
          </cell>
          <cell r="F4" t="str">
            <v>Agathe</v>
          </cell>
        </row>
        <row r="5">
          <cell r="B5" t="b">
            <v>1</v>
          </cell>
          <cell r="E5" t="str">
            <v>Bulka</v>
          </cell>
          <cell r="F5" t="str">
            <v>Alegria Lily</v>
          </cell>
        </row>
        <row r="6">
          <cell r="B6" t="b">
            <v>1</v>
          </cell>
          <cell r="E6" t="str">
            <v>Bastian</v>
          </cell>
          <cell r="F6" t="str">
            <v>Alexandra</v>
          </cell>
        </row>
        <row r="7">
          <cell r="B7" t="b">
            <v>1</v>
          </cell>
          <cell r="E7" t="str">
            <v>L'Horset</v>
          </cell>
          <cell r="F7" t="str">
            <v>Alice</v>
          </cell>
        </row>
        <row r="8">
          <cell r="B8" t="b">
            <v>1</v>
          </cell>
          <cell r="E8" t="str">
            <v>Ledru</v>
          </cell>
          <cell r="F8" t="str">
            <v>Ana-Lou</v>
          </cell>
        </row>
        <row r="9">
          <cell r="B9" t="b">
            <v>1</v>
          </cell>
          <cell r="E9" t="str">
            <v>Pero</v>
          </cell>
          <cell r="F9" t="str">
            <v>Andy</v>
          </cell>
        </row>
        <row r="10">
          <cell r="B10" t="b">
            <v>1</v>
          </cell>
          <cell r="E10" t="str">
            <v>Mallet</v>
          </cell>
          <cell r="F10" t="str">
            <v>Anna</v>
          </cell>
        </row>
        <row r="11">
          <cell r="B11" t="b">
            <v>1</v>
          </cell>
          <cell r="E11" t="str">
            <v>Malric</v>
          </cell>
          <cell r="F11" t="str">
            <v>Annouk</v>
          </cell>
        </row>
        <row r="12">
          <cell r="B12" t="b">
            <v>1</v>
          </cell>
          <cell r="E12" t="str">
            <v>Noël</v>
          </cell>
          <cell r="F12" t="str">
            <v>Antonin</v>
          </cell>
        </row>
        <row r="13">
          <cell r="B13" t="b">
            <v>1</v>
          </cell>
          <cell r="E13" t="str">
            <v>Tessier</v>
          </cell>
          <cell r="F13" t="str">
            <v>Arsène</v>
          </cell>
        </row>
        <row r="14">
          <cell r="B14" t="b">
            <v>1</v>
          </cell>
          <cell r="E14" t="str">
            <v>Uldry</v>
          </cell>
          <cell r="F14" t="str">
            <v>Arthur</v>
          </cell>
        </row>
        <row r="15">
          <cell r="B15" t="b">
            <v>1</v>
          </cell>
          <cell r="E15" t="str">
            <v>Marchand</v>
          </cell>
          <cell r="F15" t="str">
            <v>Athénaé</v>
          </cell>
        </row>
        <row r="16">
          <cell r="B16" t="b">
            <v>1</v>
          </cell>
          <cell r="E16" t="str">
            <v>Magerand</v>
          </cell>
          <cell r="F16" t="str">
            <v>Auxence</v>
          </cell>
        </row>
        <row r="17">
          <cell r="B17" t="b">
            <v>1</v>
          </cell>
          <cell r="E17" t="str">
            <v>Baruch</v>
          </cell>
          <cell r="F17" t="str">
            <v>Ava</v>
          </cell>
        </row>
        <row r="18">
          <cell r="B18" t="b">
            <v>1</v>
          </cell>
          <cell r="E18" t="str">
            <v>Detrain</v>
          </cell>
          <cell r="F18" t="str">
            <v>Benoît</v>
          </cell>
        </row>
        <row r="19">
          <cell r="B19" t="b">
            <v>1</v>
          </cell>
          <cell r="E19" t="str">
            <v>Meige</v>
          </cell>
          <cell r="F19" t="str">
            <v>Corentin</v>
          </cell>
        </row>
        <row r="20">
          <cell r="B20" t="b">
            <v>1</v>
          </cell>
          <cell r="E20" t="str">
            <v>De Filippo</v>
          </cell>
          <cell r="F20" t="str">
            <v>Emma</v>
          </cell>
        </row>
        <row r="21">
          <cell r="B21" t="b">
            <v>1</v>
          </cell>
          <cell r="E21" t="str">
            <v>Prouvost</v>
          </cell>
          <cell r="F21" t="str">
            <v>Eugénie</v>
          </cell>
        </row>
        <row r="22">
          <cell r="B22" t="b">
            <v>1</v>
          </cell>
          <cell r="E22" t="str">
            <v xml:space="preserve">Rakotonandrasana </v>
          </cell>
          <cell r="F22" t="str">
            <v>Iris</v>
          </cell>
        </row>
        <row r="23">
          <cell r="B23" t="b">
            <v>1</v>
          </cell>
          <cell r="E23" t="str">
            <v>Bürgisser</v>
          </cell>
          <cell r="F23" t="str">
            <v>Jamilah</v>
          </cell>
        </row>
        <row r="24">
          <cell r="B24" t="b">
            <v>1</v>
          </cell>
          <cell r="E24" t="str">
            <v>Ruscio</v>
          </cell>
          <cell r="F24" t="str">
            <v>Jolan</v>
          </cell>
        </row>
        <row r="25">
          <cell r="B25" t="b">
            <v>1</v>
          </cell>
          <cell r="E25" t="str">
            <v>Wuilloud</v>
          </cell>
          <cell r="F25" t="str">
            <v xml:space="preserve">Jonas </v>
          </cell>
        </row>
        <row r="26">
          <cell r="B26" t="b">
            <v>1</v>
          </cell>
          <cell r="E26" t="str">
            <v>Pirolley</v>
          </cell>
          <cell r="F26" t="str">
            <v>Jules</v>
          </cell>
        </row>
        <row r="27">
          <cell r="B27" t="b">
            <v>1</v>
          </cell>
          <cell r="E27" t="str">
            <v>Chavaillaz</v>
          </cell>
          <cell r="F27" t="str">
            <v>Julie</v>
          </cell>
        </row>
        <row r="28">
          <cell r="B28" t="b">
            <v>1</v>
          </cell>
          <cell r="E28" t="str">
            <v>Oeschger</v>
          </cell>
          <cell r="F28" t="str">
            <v>Kristel</v>
          </cell>
        </row>
        <row r="29">
          <cell r="B29" t="b">
            <v>1</v>
          </cell>
          <cell r="E29" t="str">
            <v>Baltzinger</v>
          </cell>
          <cell r="F29" t="str">
            <v>Léa</v>
          </cell>
        </row>
        <row r="30">
          <cell r="B30" t="b">
            <v>1</v>
          </cell>
          <cell r="E30" t="str">
            <v>Chambaz</v>
          </cell>
          <cell r="F30" t="str">
            <v>Léa</v>
          </cell>
        </row>
        <row r="31">
          <cell r="B31" t="b">
            <v>1</v>
          </cell>
          <cell r="E31" t="str">
            <v>Jaquet</v>
          </cell>
          <cell r="F31" t="str">
            <v>Lisa</v>
          </cell>
        </row>
        <row r="32">
          <cell r="B32" t="b">
            <v>1</v>
          </cell>
          <cell r="E32" t="str">
            <v>Magnin</v>
          </cell>
          <cell r="F32" t="str">
            <v>Lisa</v>
          </cell>
        </row>
        <row r="33">
          <cell r="B33" t="b">
            <v>1</v>
          </cell>
          <cell r="E33" t="str">
            <v>Cardis</v>
          </cell>
          <cell r="F33" t="str">
            <v>Louis</v>
          </cell>
        </row>
        <row r="34">
          <cell r="B34" t="b">
            <v>1</v>
          </cell>
          <cell r="E34" t="str">
            <v>Post</v>
          </cell>
          <cell r="F34" t="str">
            <v>Louis</v>
          </cell>
        </row>
        <row r="35">
          <cell r="B35" t="b">
            <v>1</v>
          </cell>
          <cell r="E35" t="str">
            <v>Blanchard</v>
          </cell>
          <cell r="F35" t="str">
            <v>Louise</v>
          </cell>
        </row>
        <row r="36">
          <cell r="B36" t="b">
            <v>1</v>
          </cell>
          <cell r="E36" t="str">
            <v>Chastroux</v>
          </cell>
          <cell r="F36" t="str">
            <v>Lucas</v>
          </cell>
        </row>
        <row r="37">
          <cell r="B37" t="b">
            <v>1</v>
          </cell>
          <cell r="E37" t="str">
            <v>Meyer</v>
          </cell>
          <cell r="F37" t="str">
            <v>Lucie</v>
          </cell>
        </row>
        <row r="38">
          <cell r="B38" t="b">
            <v>1</v>
          </cell>
          <cell r="E38" t="str">
            <v>Ménétrey</v>
          </cell>
          <cell r="F38" t="str">
            <v>Maëlan</v>
          </cell>
        </row>
        <row r="39">
          <cell r="B39" t="b">
            <v>1</v>
          </cell>
          <cell r="E39" t="str">
            <v>Chambaz</v>
          </cell>
          <cell r="F39" t="str">
            <v>Maëlle</v>
          </cell>
        </row>
        <row r="40">
          <cell r="B40" t="b">
            <v>1</v>
          </cell>
          <cell r="E40" t="str">
            <v>Felix</v>
          </cell>
          <cell r="F40" t="str">
            <v>Marius</v>
          </cell>
        </row>
        <row r="41">
          <cell r="B41" t="b">
            <v>1</v>
          </cell>
          <cell r="E41" t="str">
            <v>Ledru</v>
          </cell>
          <cell r="F41" t="str">
            <v>Marot</v>
          </cell>
        </row>
        <row r="42">
          <cell r="B42" t="b">
            <v>1</v>
          </cell>
          <cell r="E42" t="str">
            <v>Cuinet</v>
          </cell>
          <cell r="F42" t="str">
            <v>Mathis</v>
          </cell>
        </row>
        <row r="43">
          <cell r="B43" t="b">
            <v>1</v>
          </cell>
          <cell r="E43" t="str">
            <v>Gavin</v>
          </cell>
          <cell r="F43" t="str">
            <v>Matteo</v>
          </cell>
        </row>
        <row r="44">
          <cell r="B44" t="b">
            <v>1</v>
          </cell>
          <cell r="E44" t="str">
            <v>Debray</v>
          </cell>
          <cell r="F44" t="str">
            <v>Maxime</v>
          </cell>
        </row>
        <row r="45">
          <cell r="B45" t="b">
            <v>1</v>
          </cell>
          <cell r="E45" t="str">
            <v>Corbelli</v>
          </cell>
          <cell r="F45" t="str">
            <v>Maya</v>
          </cell>
        </row>
        <row r="46">
          <cell r="B46" t="b">
            <v>1</v>
          </cell>
          <cell r="E46" t="str">
            <v>Pasche</v>
          </cell>
          <cell r="F46" t="str">
            <v>Mickaël</v>
          </cell>
        </row>
        <row r="47">
          <cell r="B47" t="b">
            <v>1</v>
          </cell>
          <cell r="E47" t="str">
            <v>Ménard</v>
          </cell>
          <cell r="F47" t="str">
            <v>Mireille</v>
          </cell>
        </row>
        <row r="48">
          <cell r="B48" t="b">
            <v>1</v>
          </cell>
          <cell r="E48" t="str">
            <v>Fargues</v>
          </cell>
          <cell r="F48" t="str">
            <v>Morgana</v>
          </cell>
        </row>
        <row r="49">
          <cell r="B49" t="b">
            <v>1</v>
          </cell>
          <cell r="E49" t="str">
            <v>Scyboz (Lambelet)</v>
          </cell>
          <cell r="F49" t="str">
            <v>Morgane</v>
          </cell>
        </row>
        <row r="50">
          <cell r="B50" t="b">
            <v>1</v>
          </cell>
          <cell r="E50" t="str">
            <v>Koux</v>
          </cell>
          <cell r="F50" t="str">
            <v>Nathalia</v>
          </cell>
        </row>
        <row r="51">
          <cell r="B51" t="b">
            <v>1</v>
          </cell>
          <cell r="E51" t="str">
            <v>Cherpillod</v>
          </cell>
          <cell r="F51" t="str">
            <v>Noah</v>
          </cell>
        </row>
        <row r="52">
          <cell r="B52" t="b">
            <v>1</v>
          </cell>
          <cell r="E52" t="str">
            <v>Chambaz</v>
          </cell>
          <cell r="F52" t="str">
            <v>Patrick</v>
          </cell>
        </row>
        <row r="53">
          <cell r="B53" t="b">
            <v>1</v>
          </cell>
          <cell r="E53" t="str">
            <v>Assaoui</v>
          </cell>
          <cell r="F53" t="str">
            <v>Rama</v>
          </cell>
        </row>
        <row r="54">
          <cell r="B54" t="b">
            <v>1</v>
          </cell>
          <cell r="E54" t="str">
            <v>Lacroze</v>
          </cell>
          <cell r="F54" t="str">
            <v>Raphaël</v>
          </cell>
        </row>
        <row r="55">
          <cell r="B55" t="b">
            <v>1</v>
          </cell>
          <cell r="E55" t="str">
            <v>Neidhart</v>
          </cell>
          <cell r="F55" t="str">
            <v>Raphaëlle</v>
          </cell>
        </row>
        <row r="56">
          <cell r="B56" t="b">
            <v>1</v>
          </cell>
          <cell r="E56" t="str">
            <v xml:space="preserve">Lanni </v>
          </cell>
          <cell r="F56" t="str">
            <v>Roxanne</v>
          </cell>
        </row>
        <row r="57">
          <cell r="B57" t="b">
            <v>1</v>
          </cell>
          <cell r="E57" t="str">
            <v>Schiesser</v>
          </cell>
          <cell r="F57" t="str">
            <v>Sébastien</v>
          </cell>
        </row>
        <row r="58">
          <cell r="B58" t="b">
            <v>1</v>
          </cell>
          <cell r="E58" t="str">
            <v>Lambelet</v>
          </cell>
          <cell r="F58" t="str">
            <v>Simon</v>
          </cell>
        </row>
        <row r="59">
          <cell r="B59" t="b">
            <v>1</v>
          </cell>
          <cell r="E59" t="str">
            <v>Cyprien</v>
          </cell>
          <cell r="F59" t="str">
            <v>Theo</v>
          </cell>
        </row>
        <row r="60">
          <cell r="B60" t="b">
            <v>1</v>
          </cell>
          <cell r="E60" t="str">
            <v>Clerici</v>
          </cell>
          <cell r="F60" t="str">
            <v>Thibault</v>
          </cell>
        </row>
        <row r="61">
          <cell r="B61" t="b">
            <v>1</v>
          </cell>
          <cell r="E61" t="str">
            <v>Lagier</v>
          </cell>
          <cell r="F61" t="str">
            <v>Tician</v>
          </cell>
        </row>
        <row r="62">
          <cell r="B62" t="b">
            <v>1</v>
          </cell>
          <cell r="E62" t="str">
            <v>Ménétrey</v>
          </cell>
          <cell r="F62" t="str">
            <v>Titouan</v>
          </cell>
        </row>
        <row r="63">
          <cell r="B63" t="b">
            <v>1</v>
          </cell>
          <cell r="E63" t="str">
            <v>Clerici</v>
          </cell>
          <cell r="F63" t="str">
            <v>Tristan</v>
          </cell>
        </row>
        <row r="64">
          <cell r="B64" t="b">
            <v>1</v>
          </cell>
          <cell r="E64" t="str">
            <v>Bally</v>
          </cell>
          <cell r="F64" t="str">
            <v>Yann</v>
          </cell>
        </row>
        <row r="65">
          <cell r="B65" t="b">
            <v>1</v>
          </cell>
          <cell r="E65" t="str">
            <v>Ménétrey</v>
          </cell>
          <cell r="F65" t="str">
            <v>Ysatis</v>
          </cell>
        </row>
        <row r="66">
          <cell r="B66" t="b">
            <v>0</v>
          </cell>
          <cell r="E66" t="str">
            <v>Scyboz (Lambelet)</v>
          </cell>
          <cell r="F66" t="str">
            <v>Alex</v>
          </cell>
        </row>
        <row r="67">
          <cell r="B67" t="b">
            <v>0</v>
          </cell>
          <cell r="E67" t="str">
            <v>Delassus</v>
          </cell>
          <cell r="F67" t="str">
            <v>Frank</v>
          </cell>
        </row>
        <row r="68">
          <cell r="B68" t="b">
            <v>0</v>
          </cell>
          <cell r="E68" t="str">
            <v>Rieger</v>
          </cell>
          <cell r="F68" t="str">
            <v>Maya</v>
          </cell>
        </row>
        <row r="69">
          <cell r="B69" t="b">
            <v>0</v>
          </cell>
          <cell r="E69" t="str">
            <v>Michel</v>
          </cell>
          <cell r="F69" t="str">
            <v>Mehdi</v>
          </cell>
        </row>
        <row r="70">
          <cell r="B70" t="b">
            <v>0</v>
          </cell>
          <cell r="E70" t="str">
            <v>Durand</v>
          </cell>
          <cell r="F70" t="str">
            <v>Sacha</v>
          </cell>
        </row>
        <row r="71">
          <cell r="B71" t="b">
            <v>0</v>
          </cell>
          <cell r="E71" t="str">
            <v>Pieper</v>
          </cell>
          <cell r="F71" t="str">
            <v>Giulia</v>
          </cell>
        </row>
        <row r="72">
          <cell r="B72" t="b">
            <v>0</v>
          </cell>
          <cell r="E72" t="str">
            <v>Durand</v>
          </cell>
          <cell r="F72" t="str">
            <v>Isidore</v>
          </cell>
        </row>
        <row r="73">
          <cell r="B73" t="b">
            <v>0</v>
          </cell>
          <cell r="E73" t="str">
            <v>Lemay</v>
          </cell>
          <cell r="F73" t="str">
            <v>Mae</v>
          </cell>
        </row>
        <row r="74">
          <cell r="B74" t="b">
            <v>0</v>
          </cell>
          <cell r="F74" t="str">
            <v>Michelle-Evy</v>
          </cell>
        </row>
        <row r="75">
          <cell r="B75" t="b">
            <v>0</v>
          </cell>
          <cell r="E75" t="str">
            <v>Bonay</v>
          </cell>
          <cell r="F75" t="str">
            <v>Paul</v>
          </cell>
        </row>
        <row r="76">
          <cell r="B76" t="b">
            <v>0</v>
          </cell>
          <cell r="E76" t="str">
            <v>Carrière</v>
          </cell>
          <cell r="F76" t="str">
            <v>Zellie</v>
          </cell>
        </row>
        <row r="77">
          <cell r="B77" t="b">
            <v>0</v>
          </cell>
          <cell r="E77" t="str">
            <v>Goumaz</v>
          </cell>
          <cell r="F77" t="str">
            <v>Alexandre</v>
          </cell>
        </row>
        <row r="78">
          <cell r="B78" t="b">
            <v>0</v>
          </cell>
          <cell r="E78" t="str">
            <v xml:space="preserve">Lanni </v>
          </cell>
          <cell r="F78" t="str">
            <v>Brian</v>
          </cell>
        </row>
        <row r="79">
          <cell r="B79" t="b">
            <v>0</v>
          </cell>
          <cell r="E79" t="str">
            <v>Pernet</v>
          </cell>
          <cell r="F79" t="str">
            <v>Célia</v>
          </cell>
        </row>
        <row r="80">
          <cell r="B80" t="b">
            <v>0</v>
          </cell>
          <cell r="E80" t="str">
            <v>Cardinaux</v>
          </cell>
          <cell r="F80" t="str">
            <v>Christian</v>
          </cell>
        </row>
        <row r="81">
          <cell r="B81" t="b">
            <v>0</v>
          </cell>
          <cell r="E81" t="str">
            <v>Aigner</v>
          </cell>
          <cell r="F81" t="str">
            <v>David</v>
          </cell>
        </row>
        <row r="82">
          <cell r="B82" t="b">
            <v>0</v>
          </cell>
          <cell r="E82" t="str">
            <v>Gebhardt</v>
          </cell>
          <cell r="F82" t="str">
            <v>David</v>
          </cell>
        </row>
        <row r="83">
          <cell r="B83" t="b">
            <v>0</v>
          </cell>
          <cell r="E83" t="str">
            <v>Requena</v>
          </cell>
          <cell r="F83" t="str">
            <v>Elisa</v>
          </cell>
        </row>
        <row r="84">
          <cell r="B84" t="b">
            <v>0</v>
          </cell>
          <cell r="E84" t="str">
            <v>Maître</v>
          </cell>
          <cell r="F84" t="str">
            <v>Enzo</v>
          </cell>
        </row>
        <row r="85">
          <cell r="B85" t="b">
            <v>0</v>
          </cell>
          <cell r="E85" t="str">
            <v>Déchanez</v>
          </cell>
          <cell r="F85" t="str">
            <v>Léa</v>
          </cell>
        </row>
        <row r="86">
          <cell r="B86" t="b">
            <v>0</v>
          </cell>
          <cell r="E86" t="str">
            <v>Ledru</v>
          </cell>
          <cell r="F86" t="str">
            <v>Lina-Rosa</v>
          </cell>
        </row>
        <row r="87">
          <cell r="B87" t="b">
            <v>0</v>
          </cell>
          <cell r="E87" t="str">
            <v>Bonduel</v>
          </cell>
          <cell r="F87" t="str">
            <v>Lola</v>
          </cell>
        </row>
        <row r="88">
          <cell r="B88" t="b">
            <v>0</v>
          </cell>
          <cell r="E88" t="str">
            <v>Ledru</v>
          </cell>
          <cell r="F88" t="str">
            <v>Loucas</v>
          </cell>
        </row>
        <row r="89">
          <cell r="B89" t="b">
            <v>0</v>
          </cell>
          <cell r="E89" t="str">
            <v>Deschoux</v>
          </cell>
          <cell r="F89" t="str">
            <v>Louise</v>
          </cell>
        </row>
        <row r="90">
          <cell r="B90" t="b">
            <v>0</v>
          </cell>
          <cell r="E90" t="str">
            <v>Schlapbach</v>
          </cell>
          <cell r="F90" t="str">
            <v>Naomé</v>
          </cell>
        </row>
        <row r="91">
          <cell r="B91" t="b">
            <v>0</v>
          </cell>
          <cell r="E91" t="str">
            <v>Lugeon</v>
          </cell>
          <cell r="F91" t="str">
            <v>Nicolas</v>
          </cell>
        </row>
        <row r="92">
          <cell r="B92" t="b">
            <v>0</v>
          </cell>
          <cell r="E92" t="str">
            <v>Fogo</v>
          </cell>
          <cell r="F92" t="str">
            <v>Noé</v>
          </cell>
        </row>
        <row r="93">
          <cell r="B93" t="b">
            <v>0</v>
          </cell>
          <cell r="E93" t="str">
            <v>de Schoulepnikoff</v>
          </cell>
          <cell r="F93" t="str">
            <v>Noémie</v>
          </cell>
        </row>
        <row r="94">
          <cell r="B94" t="b">
            <v>0</v>
          </cell>
          <cell r="E94" t="str">
            <v>Bouduban</v>
          </cell>
          <cell r="F94" t="str">
            <v>Pénélope</v>
          </cell>
        </row>
        <row r="95">
          <cell r="B95" t="b">
            <v>0</v>
          </cell>
          <cell r="E95" t="str">
            <v>Trieu</v>
          </cell>
          <cell r="F95" t="str">
            <v>Raimond</v>
          </cell>
        </row>
        <row r="96">
          <cell r="B96" t="b">
            <v>0</v>
          </cell>
          <cell r="F96" t="str">
            <v>Ramón</v>
          </cell>
        </row>
        <row r="97">
          <cell r="B97" t="b">
            <v>0</v>
          </cell>
          <cell r="E97" t="str">
            <v>Aigner</v>
          </cell>
          <cell r="F97" t="str">
            <v>Robert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67355-F678-44DA-A09E-12A233EE0EAE}" name="Table1" displayName="Table1" ref="A1:C18" totalsRowShown="0">
  <autoFilter ref="A1:C18" xr:uid="{31667355-F678-44DA-A09E-12A233EE0EAE}"/>
  <sortState xmlns:xlrd2="http://schemas.microsoft.com/office/spreadsheetml/2017/richdata2" ref="A2:C18">
    <sortCondition ref="A1:A18"/>
  </sortState>
  <tableColumns count="3">
    <tableColumn id="1" xr3:uid="{8E8B93B6-FFFA-43DA-9F4F-50757F0A0BB7}" name="Mardi"/>
    <tableColumn id="2" xr3:uid="{C48EDA23-1025-4E75-B10E-227DEE82B8BD}" name="Début" dataDxfId="17"/>
    <tableColumn id="3" xr3:uid="{B5DF4254-9F45-48A8-ABC0-B6F06CA1B9AB}" name="Fin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E98B2-B85F-4882-BE6E-DCFC0A75118B}" name="Table2" displayName="Table2" ref="D1:F18" totalsRowShown="0">
  <autoFilter ref="D1:F18" xr:uid="{04BE98B2-B85F-4882-BE6E-DCFC0A75118B}"/>
  <sortState xmlns:xlrd2="http://schemas.microsoft.com/office/spreadsheetml/2017/richdata2" ref="D2:F18">
    <sortCondition ref="D1:D18"/>
  </sortState>
  <tableColumns count="3">
    <tableColumn id="1" xr3:uid="{095BD6C4-973C-43C1-80CE-C1A359C07B30}" name="Mercredi"/>
    <tableColumn id="2" xr3:uid="{94F6012C-3B57-463E-B0C5-19E9BA6495AA}" name="Début" dataDxfId="15"/>
    <tableColumn id="3" xr3:uid="{4A1A2075-B7E2-42F0-B7D0-601CA6ED90A7}" name="Fin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5CB504-E307-4C94-A282-F3FDD49CCC96}" name="Table3" displayName="Table3" ref="G1:I19" totalsRowShown="0">
  <autoFilter ref="G1:I19" xr:uid="{B75CB504-E307-4C94-A282-F3FDD49CCC96}"/>
  <sortState xmlns:xlrd2="http://schemas.microsoft.com/office/spreadsheetml/2017/richdata2" ref="G2:I19">
    <sortCondition ref="G1:G19"/>
  </sortState>
  <tableColumns count="3">
    <tableColumn id="1" xr3:uid="{4E6D4E23-2332-4B3F-B79A-9DF4ECB8F9E0}" name="Jeudi"/>
    <tableColumn id="2" xr3:uid="{99E9964E-444F-45E0-AA5E-D53985498927}" name="Début" dataDxfId="13"/>
    <tableColumn id="3" xr3:uid="{367FB86A-A425-4FA3-9208-03C03A820C10}" name="Fin" dataDxfId="1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5C5630-728A-4A3D-8A83-1E2DEBB42897}" name="Table4" displayName="Table4" ref="J1:L19" totalsRowShown="0">
  <autoFilter ref="J1:L19" xr:uid="{5A5C5630-728A-4A3D-8A83-1E2DEBB42897}"/>
  <sortState xmlns:xlrd2="http://schemas.microsoft.com/office/spreadsheetml/2017/richdata2" ref="J2:L19">
    <sortCondition ref="J1:J19"/>
  </sortState>
  <tableColumns count="3">
    <tableColumn id="1" xr3:uid="{DE30BCE9-F1AF-4C08-B39E-0C9853F3017D}" name="Vendredi"/>
    <tableColumn id="2" xr3:uid="{A8DF8A9F-F84C-4960-988E-1E980B175AB2}" name="Début" dataDxfId="11"/>
    <tableColumn id="3" xr3:uid="{A8243E08-6684-40CA-8875-E3059911D8AA}" name="Fin" dataDxfId="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C6E342-26C5-4169-B364-0750430DCCE4}" name="Table5" displayName="Table5" ref="M1:O19" totalsRowShown="0">
  <autoFilter ref="M1:O19" xr:uid="{52C6E342-26C5-4169-B364-0750430DCCE4}"/>
  <sortState xmlns:xlrd2="http://schemas.microsoft.com/office/spreadsheetml/2017/richdata2" ref="M2:O19">
    <sortCondition ref="M1:M19"/>
  </sortState>
  <tableColumns count="3">
    <tableColumn id="1" xr3:uid="{7A71C11D-7C12-40F2-994A-E8B08FF154F3}" name="Samedi"/>
    <tableColumn id="2" xr3:uid="{193A2EA8-7572-456D-9AF2-8AB7BDAF4FA2}" name="Début" dataDxfId="9"/>
    <tableColumn id="3" xr3:uid="{7F3E1EDD-55C8-4CB4-A9F7-92D40BA92403}" name="Fin" dataDxfId="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E67208-45B1-4E00-AF57-DECB223ECABD}" name="Table6" displayName="Table6" ref="P1:R17" totalsRowShown="0">
  <autoFilter ref="P1:R17" xr:uid="{82E67208-45B1-4E00-AF57-DECB223ECABD}"/>
  <sortState xmlns:xlrd2="http://schemas.microsoft.com/office/spreadsheetml/2017/richdata2" ref="P2:R17">
    <sortCondition ref="P1:P17"/>
  </sortState>
  <tableColumns count="3">
    <tableColumn id="1" xr3:uid="{3F274A3A-E1E0-4299-BDD1-EDE4FB548589}" name="Dimanche"/>
    <tableColumn id="2" xr3:uid="{79564556-5CF8-4025-B335-FEFC7C6C2FCA}" name="Début" dataDxfId="7"/>
    <tableColumn id="3" xr3:uid="{1D072B5E-8A60-4C4B-903E-D68DDAC1B33C}" name="Fin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59999389629810485"/>
  </sheetPr>
  <dimension ref="A1:K68"/>
  <sheetViews>
    <sheetView workbookViewId="0">
      <selection activeCell="I28" sqref="I28"/>
    </sheetView>
  </sheetViews>
  <sheetFormatPr defaultRowHeight="14.6" x14ac:dyDescent="0.4"/>
  <cols>
    <col min="1" max="1" width="15.921875" customWidth="1"/>
    <col min="2" max="2" width="13.765625" customWidth="1"/>
    <col min="3" max="3" width="11.53515625" customWidth="1"/>
    <col min="4" max="5" width="8.765625" style="2" customWidth="1"/>
    <col min="6" max="6" width="11.53515625" customWidth="1"/>
    <col min="7" max="8" width="8.765625" style="2" customWidth="1"/>
    <col min="9" max="9" width="11.53515625" customWidth="1"/>
    <col min="10" max="11" width="8.765625" style="2" customWidth="1"/>
    <col min="12" max="12" width="3.4609375" customWidth="1"/>
  </cols>
  <sheetData>
    <row r="1" spans="1:11" s="4" customFormat="1" x14ac:dyDescent="0.4">
      <c r="A1" s="4" t="s">
        <v>0</v>
      </c>
      <c r="B1" s="4" t="s">
        <v>1</v>
      </c>
      <c r="C1" s="4" t="s">
        <v>4</v>
      </c>
      <c r="D1" s="5" t="s">
        <v>2</v>
      </c>
      <c r="E1" s="5" t="s">
        <v>3</v>
      </c>
      <c r="F1" s="4" t="s">
        <v>5</v>
      </c>
      <c r="G1" s="5" t="s">
        <v>2</v>
      </c>
      <c r="H1" s="5" t="s">
        <v>3</v>
      </c>
      <c r="I1" s="4" t="s">
        <v>116</v>
      </c>
      <c r="J1" s="5" t="s">
        <v>2</v>
      </c>
      <c r="K1" s="5" t="s">
        <v>3</v>
      </c>
    </row>
    <row r="2" spans="1:11" x14ac:dyDescent="0.4">
      <c r="A2" t="s">
        <v>216</v>
      </c>
      <c r="B2" t="s">
        <v>217</v>
      </c>
      <c r="C2" t="s">
        <v>13</v>
      </c>
      <c r="D2" s="2" cm="1">
        <f t="array" ref="D2:E2">_xlfn.XLOOKUP(C2,Table1[Mardi],Table1[[Début]:[Fin]],"")</f>
        <v>0.875</v>
      </c>
      <c r="E2" s="2">
        <v>0.92708333333333337</v>
      </c>
      <c r="F2" t="s">
        <v>14</v>
      </c>
      <c r="G2" s="2" cm="1">
        <f t="array" ref="G2:H2">_xlfn.XLOOKUP(F2,Table1[Mardi],Table1[[Début]:[Fin]],"")</f>
        <v>0.99305555555555558</v>
      </c>
      <c r="H2" s="2">
        <v>5.9027777777777776E-2</v>
      </c>
      <c r="J2" s="2" t="str" cm="1">
        <f t="array" ref="J2">_xlfn.XLOOKUP(I2,Table1[Mardi],Table1[[Début]:[Fin]],"")</f>
        <v/>
      </c>
    </row>
    <row r="3" spans="1:11" x14ac:dyDescent="0.4">
      <c r="A3" t="s">
        <v>218</v>
      </c>
      <c r="B3" t="s">
        <v>219</v>
      </c>
      <c r="C3" t="s">
        <v>31</v>
      </c>
      <c r="D3" s="2" cm="1">
        <f t="array" ref="D3:E3">_xlfn.XLOOKUP(C3,Table1[Mardi],Table1[[Début]:[Fin]],"")</f>
        <v>0.93402777777777779</v>
      </c>
      <c r="E3" s="2">
        <v>0.98611111111111116</v>
      </c>
      <c r="F3" t="s">
        <v>13</v>
      </c>
      <c r="G3" s="2" cm="1">
        <f t="array" ref="G3:H3">_xlfn.XLOOKUP(F3,Table1[Mardi],Table1[[Début]:[Fin]],"")</f>
        <v>0.875</v>
      </c>
      <c r="H3" s="2">
        <v>0.92708333333333337</v>
      </c>
      <c r="I3" t="s">
        <v>14</v>
      </c>
      <c r="J3" s="2" cm="1">
        <f t="array" ref="J3:K3">_xlfn.XLOOKUP(I3,Table1[Mardi],Table1[[Début]:[Fin]],"")</f>
        <v>0.99305555555555558</v>
      </c>
      <c r="K3" s="2">
        <v>5.9027777777777776E-2</v>
      </c>
    </row>
    <row r="4" spans="1:11" x14ac:dyDescent="0.4">
      <c r="A4" t="s">
        <v>220</v>
      </c>
      <c r="B4" t="s">
        <v>221</v>
      </c>
      <c r="D4" s="2" t="str" cm="1">
        <f t="array" ref="D4">_xlfn.XLOOKUP(C4,Table1[Mardi],Table1[[Début]:[Fin]],"")</f>
        <v/>
      </c>
      <c r="G4" s="2" t="str" cm="1">
        <f t="array" ref="G4">_xlfn.XLOOKUP(F4,Table1[Mardi],Table1[[Début]:[Fin]],"")</f>
        <v/>
      </c>
      <c r="J4" s="2" t="str" cm="1">
        <f t="array" ref="J4">_xlfn.XLOOKUP(I4,Table1[Mardi],Table1[[Début]:[Fin]],"")</f>
        <v/>
      </c>
    </row>
    <row r="5" spans="1:11" x14ac:dyDescent="0.4">
      <c r="A5" t="s">
        <v>222</v>
      </c>
      <c r="B5" t="s">
        <v>223</v>
      </c>
      <c r="C5" t="s">
        <v>14</v>
      </c>
      <c r="D5" s="2" cm="1">
        <f t="array" ref="D5:E5">_xlfn.XLOOKUP(C5,Table1[Mardi],Table1[[Début]:[Fin]],"")</f>
        <v>0.99305555555555558</v>
      </c>
      <c r="E5" s="2">
        <v>5.9027777777777776E-2</v>
      </c>
      <c r="F5" t="s">
        <v>31</v>
      </c>
      <c r="G5" s="2" cm="1">
        <f t="array" ref="G5:H5">_xlfn.XLOOKUP(F5,Table1[Mardi],Table1[[Début]:[Fin]],"")</f>
        <v>0.93402777777777779</v>
      </c>
      <c r="H5" s="2">
        <v>0.98611111111111116</v>
      </c>
      <c r="I5" t="s">
        <v>32</v>
      </c>
      <c r="J5" s="2" cm="1">
        <f t="array" ref="J5:K5">_xlfn.XLOOKUP(I5,Table1[Mardi],Table1[[Début]:[Fin]],"")</f>
        <v>1.0625</v>
      </c>
      <c r="K5" s="2">
        <v>1.1041666666666667</v>
      </c>
    </row>
    <row r="6" spans="1:11" x14ac:dyDescent="0.4">
      <c r="A6" t="s">
        <v>224</v>
      </c>
      <c r="B6" t="s">
        <v>474</v>
      </c>
      <c r="C6" t="s">
        <v>14</v>
      </c>
      <c r="D6" s="2" cm="1">
        <f t="array" ref="D6:E6">_xlfn.XLOOKUP(C6,Table1[Mardi],Table1[[Début]:[Fin]],"")</f>
        <v>0.99305555555555558</v>
      </c>
      <c r="E6" s="2">
        <v>5.9027777777777776E-2</v>
      </c>
      <c r="F6" t="s">
        <v>13</v>
      </c>
      <c r="G6" s="2" cm="1">
        <f t="array" ref="G6:H6">_xlfn.XLOOKUP(F6,Table1[Mardi],Table1[[Début]:[Fin]],"")</f>
        <v>0.875</v>
      </c>
      <c r="H6" s="2">
        <v>0.92708333333333337</v>
      </c>
      <c r="I6" t="s">
        <v>31</v>
      </c>
      <c r="J6" s="2" cm="1">
        <f t="array" ref="J6:K6">_xlfn.XLOOKUP(I6,Table1[Mardi],Table1[[Début]:[Fin]],"")</f>
        <v>0.93402777777777779</v>
      </c>
      <c r="K6" s="2">
        <v>0.98611111111111116</v>
      </c>
    </row>
    <row r="7" spans="1:11" x14ac:dyDescent="0.4">
      <c r="A7" t="s">
        <v>475</v>
      </c>
      <c r="B7" t="s">
        <v>476</v>
      </c>
      <c r="C7" t="s">
        <v>14</v>
      </c>
      <c r="D7" s="2" cm="1">
        <f t="array" ref="D7:E7">_xlfn.XLOOKUP(C7,Table1[Mardi],Table1[[Début]:[Fin]],"")</f>
        <v>0.99305555555555558</v>
      </c>
      <c r="E7" s="2">
        <v>5.9027777777777776E-2</v>
      </c>
      <c r="F7" t="s">
        <v>13</v>
      </c>
      <c r="G7" s="2" cm="1">
        <f t="array" ref="G7:H7">_xlfn.XLOOKUP(F7,Table1[Mardi],Table1[[Début]:[Fin]],"")</f>
        <v>0.875</v>
      </c>
      <c r="H7" s="2">
        <v>0.92708333333333337</v>
      </c>
      <c r="J7" s="2" t="str" cm="1">
        <f t="array" ref="J7">_xlfn.XLOOKUP(I7,Table1[Mardi],Table1[[Début]:[Fin]],"")</f>
        <v/>
      </c>
    </row>
    <row r="8" spans="1:11" x14ac:dyDescent="0.4">
      <c r="A8" t="s">
        <v>225</v>
      </c>
      <c r="B8" t="s">
        <v>226</v>
      </c>
      <c r="C8" t="s">
        <v>14</v>
      </c>
      <c r="D8" s="2" cm="1">
        <f t="array" ref="D8:E8">_xlfn.XLOOKUP(C8,Table1[Mardi],Table1[[Début]:[Fin]],"")</f>
        <v>0.99305555555555558</v>
      </c>
      <c r="E8" s="2">
        <v>5.9027777777777776E-2</v>
      </c>
      <c r="F8" t="s">
        <v>13</v>
      </c>
      <c r="G8" s="2" cm="1">
        <f t="array" ref="G8:H8">_xlfn.XLOOKUP(F8,Table1[Mardi],Table1[[Début]:[Fin]],"")</f>
        <v>0.875</v>
      </c>
      <c r="H8" s="2">
        <v>0.92708333333333337</v>
      </c>
      <c r="J8" s="2" t="str" cm="1">
        <f t="array" ref="J8">_xlfn.XLOOKUP(I8,Table1[Mardi],Table1[[Début]:[Fin]],"")</f>
        <v/>
      </c>
    </row>
    <row r="9" spans="1:11" x14ac:dyDescent="0.4">
      <c r="A9" t="s">
        <v>227</v>
      </c>
      <c r="B9" t="s">
        <v>228</v>
      </c>
      <c r="C9" t="s">
        <v>12</v>
      </c>
      <c r="D9" s="2" cm="1">
        <f t="array" ref="D9:E9">_xlfn.XLOOKUP(C9,Table1[Mardi],Table1[[Début]:[Fin]],"")</f>
        <v>0.77083333333333337</v>
      </c>
      <c r="E9" s="2">
        <v>0.8125</v>
      </c>
      <c r="F9" t="s">
        <v>14</v>
      </c>
      <c r="G9" s="2" cm="1">
        <f t="array" ref="G9:H9">_xlfn.XLOOKUP(F9,Table1[Mardi],Table1[[Début]:[Fin]],"")</f>
        <v>0.99305555555555558</v>
      </c>
      <c r="H9" s="2">
        <v>5.9027777777777776E-2</v>
      </c>
      <c r="J9" s="2" t="str" cm="1">
        <f t="array" ref="J9">_xlfn.XLOOKUP(I9,Table1[Mardi],Table1[[Début]:[Fin]],"")</f>
        <v/>
      </c>
    </row>
    <row r="10" spans="1:11" x14ac:dyDescent="0.4">
      <c r="A10" t="s">
        <v>229</v>
      </c>
      <c r="B10" t="s">
        <v>230</v>
      </c>
      <c r="D10" s="2" t="str" cm="1">
        <f t="array" ref="D10">_xlfn.XLOOKUP(C10,Table1[Mardi],Table1[[Début]:[Fin]],"")</f>
        <v/>
      </c>
      <c r="G10" s="2" t="str" cm="1">
        <f t="array" ref="G10">_xlfn.XLOOKUP(F10,Table1[Mardi],Table1[[Début]:[Fin]],"")</f>
        <v/>
      </c>
      <c r="J10" s="2" t="str" cm="1">
        <f t="array" ref="J10">_xlfn.XLOOKUP(I10,Table1[Mardi],Table1[[Début]:[Fin]],"")</f>
        <v/>
      </c>
    </row>
    <row r="11" spans="1:11" x14ac:dyDescent="0.4">
      <c r="A11" t="s">
        <v>231</v>
      </c>
      <c r="B11" t="s">
        <v>232</v>
      </c>
      <c r="C11" t="s">
        <v>14</v>
      </c>
      <c r="D11" s="2" cm="1">
        <f t="array" ref="D11:E11">_xlfn.XLOOKUP(C11,Table1[Mardi],Table1[[Début]:[Fin]],"")</f>
        <v>0.99305555555555558</v>
      </c>
      <c r="E11" s="2">
        <v>5.9027777777777776E-2</v>
      </c>
      <c r="F11" t="s">
        <v>31</v>
      </c>
      <c r="G11" s="2" cm="1">
        <f t="array" ref="G11:H11">_xlfn.XLOOKUP(F11,Table1[Mardi],Table1[[Début]:[Fin]],"")</f>
        <v>0.93402777777777779</v>
      </c>
      <c r="H11" s="2">
        <v>0.98611111111111116</v>
      </c>
      <c r="I11" t="s">
        <v>13</v>
      </c>
      <c r="J11" s="2" cm="1">
        <f t="array" ref="J11:K11">_xlfn.XLOOKUP(I11,Table1[Mardi],Table1[[Début]:[Fin]],"")</f>
        <v>0.875</v>
      </c>
      <c r="K11" s="2">
        <v>0.92708333333333337</v>
      </c>
    </row>
    <row r="12" spans="1:11" x14ac:dyDescent="0.4">
      <c r="A12" t="s">
        <v>233</v>
      </c>
      <c r="B12" t="s">
        <v>234</v>
      </c>
      <c r="D12" s="2" t="str" cm="1">
        <f t="array" ref="D12">_xlfn.XLOOKUP(C12,Table1[Mardi],Table1[[Début]:[Fin]],"")</f>
        <v/>
      </c>
      <c r="G12" s="2" t="str" cm="1">
        <f t="array" ref="G12">_xlfn.XLOOKUP(F12,Table1[Mardi],Table1[[Début]:[Fin]],"")</f>
        <v/>
      </c>
      <c r="J12" s="2" t="str" cm="1">
        <f t="array" ref="J12">_xlfn.XLOOKUP(I12,Table1[Mardi],Table1[[Début]:[Fin]],"")</f>
        <v/>
      </c>
    </row>
    <row r="13" spans="1:11" x14ac:dyDescent="0.4">
      <c r="A13" t="s">
        <v>235</v>
      </c>
      <c r="B13" t="s">
        <v>236</v>
      </c>
      <c r="C13" t="s">
        <v>14</v>
      </c>
      <c r="D13" s="2" cm="1">
        <f t="array" ref="D13:E13">_xlfn.XLOOKUP(C13,Table1[Mardi],Table1[[Début]:[Fin]],"")</f>
        <v>0.99305555555555558</v>
      </c>
      <c r="E13" s="2">
        <v>5.9027777777777776E-2</v>
      </c>
      <c r="G13" s="2" t="str" cm="1">
        <f t="array" ref="G13">_xlfn.XLOOKUP(F13,Table1[Mardi],Table1[[Début]:[Fin]],"")</f>
        <v/>
      </c>
      <c r="J13" s="2" t="str" cm="1">
        <f t="array" ref="J13">_xlfn.XLOOKUP(I13,Table1[Mardi],Table1[[Début]:[Fin]],"")</f>
        <v/>
      </c>
    </row>
    <row r="14" spans="1:11" x14ac:dyDescent="0.4">
      <c r="A14" t="s">
        <v>237</v>
      </c>
      <c r="B14" t="s">
        <v>238</v>
      </c>
      <c r="C14" t="s">
        <v>53</v>
      </c>
      <c r="D14" s="2" cm="1">
        <f t="array" ref="D14:E14">_xlfn.XLOOKUP(C14,Table1[Mardi],Table1[[Début]:[Fin]],"")</f>
        <v>0.92708333333333337</v>
      </c>
      <c r="E14" s="2">
        <v>0.98958333333333337</v>
      </c>
      <c r="F14" t="s">
        <v>94</v>
      </c>
      <c r="G14" s="2" cm="1">
        <f t="array" ref="G14:H14">_xlfn.XLOOKUP(F14,Table1[Mardi],Table1[[Début]:[Fin]],"")</f>
        <v>0.78125</v>
      </c>
      <c r="H14" s="2">
        <v>0.82291666666666663</v>
      </c>
      <c r="I14" t="s">
        <v>13</v>
      </c>
      <c r="J14" s="2" cm="1">
        <f t="array" ref="J14:K14">_xlfn.XLOOKUP(I14,Table1[Mardi],Table1[[Début]:[Fin]],"")</f>
        <v>0.875</v>
      </c>
      <c r="K14" s="2">
        <v>0.92708333333333337</v>
      </c>
    </row>
    <row r="15" spans="1:11" x14ac:dyDescent="0.4">
      <c r="A15" t="s">
        <v>239</v>
      </c>
      <c r="B15" t="s">
        <v>240</v>
      </c>
      <c r="C15" t="s">
        <v>14</v>
      </c>
      <c r="D15" s="2" cm="1">
        <f t="array" ref="D15:E15">_xlfn.XLOOKUP(C15,Table1[Mardi],Table1[[Début]:[Fin]],"")</f>
        <v>0.99305555555555558</v>
      </c>
      <c r="E15" s="2">
        <v>5.9027777777777776E-2</v>
      </c>
      <c r="F15" t="s">
        <v>32</v>
      </c>
      <c r="G15" s="2" cm="1">
        <f t="array" ref="G15:H15">_xlfn.XLOOKUP(F15,Table1[Mardi],Table1[[Début]:[Fin]],"")</f>
        <v>1.0625</v>
      </c>
      <c r="H15" s="2">
        <v>1.1041666666666667</v>
      </c>
      <c r="J15" s="2" t="str" cm="1">
        <f t="array" ref="J15">_xlfn.XLOOKUP(I15,Table1[Mardi],Table1[[Début]:[Fin]],"")</f>
        <v/>
      </c>
    </row>
    <row r="16" spans="1:11" x14ac:dyDescent="0.4">
      <c r="A16" t="s">
        <v>241</v>
      </c>
      <c r="B16" t="s">
        <v>242</v>
      </c>
      <c r="D16" s="2" t="str" cm="1">
        <f t="array" ref="D16">_xlfn.XLOOKUP(C16,Table1[Mardi],Table1[[Début]:[Fin]],"")</f>
        <v/>
      </c>
      <c r="G16" s="2" t="str" cm="1">
        <f t="array" ref="G16">_xlfn.XLOOKUP(F16,Table1[Mardi],Table1[[Début]:[Fin]],"")</f>
        <v/>
      </c>
      <c r="J16" s="2" t="str" cm="1">
        <f t="array" ref="J16">_xlfn.XLOOKUP(I16,Table1[Mardi],Table1[[Début]:[Fin]],"")</f>
        <v/>
      </c>
    </row>
    <row r="17" spans="1:11" x14ac:dyDescent="0.4">
      <c r="A17" t="s">
        <v>243</v>
      </c>
      <c r="B17" t="s">
        <v>244</v>
      </c>
      <c r="C17" t="s">
        <v>31</v>
      </c>
      <c r="D17" s="2" cm="1">
        <f t="array" ref="D17:E17">_xlfn.XLOOKUP(C17,Table1[Mardi],Table1[[Début]:[Fin]],"")</f>
        <v>0.93402777777777779</v>
      </c>
      <c r="E17" s="2">
        <v>0.98611111111111116</v>
      </c>
      <c r="G17" s="2" t="str" cm="1">
        <f t="array" ref="G17">_xlfn.XLOOKUP(F17,Table1[Mardi],Table1[[Début]:[Fin]],"")</f>
        <v/>
      </c>
      <c r="J17" s="2" t="str" cm="1">
        <f t="array" ref="J17">_xlfn.XLOOKUP(I17,Table1[Mardi],Table1[[Début]:[Fin]],"")</f>
        <v/>
      </c>
    </row>
    <row r="18" spans="1:11" x14ac:dyDescent="0.4">
      <c r="A18" t="s">
        <v>245</v>
      </c>
      <c r="B18" t="s">
        <v>246</v>
      </c>
      <c r="C18" t="s">
        <v>76</v>
      </c>
      <c r="D18" s="2" cm="1">
        <f t="array" ref="D18:E18">_xlfn.XLOOKUP(C18,Table1[Mardi],Table1[[Début]:[Fin]],"")</f>
        <v>0.8125</v>
      </c>
      <c r="E18" s="2">
        <v>0.86458333333333337</v>
      </c>
      <c r="F18" t="s">
        <v>13</v>
      </c>
      <c r="G18" s="2" cm="1">
        <f t="array" ref="G18:H18">_xlfn.XLOOKUP(F18,Table1[Mardi],Table1[[Début]:[Fin]],"")</f>
        <v>0.875</v>
      </c>
      <c r="H18" s="2">
        <v>0.92708333333333337</v>
      </c>
      <c r="J18" s="2" t="str" cm="1">
        <f t="array" ref="J18">_xlfn.XLOOKUP(I18,Table1[Mardi],Table1[[Début]:[Fin]],"")</f>
        <v/>
      </c>
    </row>
    <row r="19" spans="1:11" x14ac:dyDescent="0.4">
      <c r="A19" t="s">
        <v>247</v>
      </c>
      <c r="B19" t="s">
        <v>248</v>
      </c>
      <c r="D19" s="2" t="str" cm="1">
        <f t="array" ref="D19">_xlfn.XLOOKUP(C19,Table1[Mardi],Table1[[Début]:[Fin]],"")</f>
        <v/>
      </c>
      <c r="G19" s="2" t="str" cm="1">
        <f t="array" ref="G19">_xlfn.XLOOKUP(F19,Table1[Mardi],Table1[[Début]:[Fin]],"")</f>
        <v/>
      </c>
      <c r="J19" s="2" t="str" cm="1">
        <f t="array" ref="J19">_xlfn.XLOOKUP(I19,Table1[Mardi],Table1[[Début]:[Fin]],"")</f>
        <v/>
      </c>
    </row>
    <row r="20" spans="1:11" x14ac:dyDescent="0.4">
      <c r="A20" t="s">
        <v>249</v>
      </c>
      <c r="B20" t="s">
        <v>250</v>
      </c>
      <c r="C20" t="s">
        <v>14</v>
      </c>
      <c r="D20" s="2" cm="1">
        <f t="array" ref="D20:E20">_xlfn.XLOOKUP(C20,Table1[Mardi],Table1[[Début]:[Fin]],"")</f>
        <v>0.99305555555555558</v>
      </c>
      <c r="E20" s="2">
        <v>5.9027777777777776E-2</v>
      </c>
      <c r="F20" t="s">
        <v>77</v>
      </c>
      <c r="G20" s="2" cm="1">
        <f t="array" ref="G20:H20">_xlfn.XLOOKUP(F20,Table1[Mardi],Table1[[Début]:[Fin]],"")</f>
        <v>0.9375</v>
      </c>
      <c r="H20" s="2">
        <v>0.97916666666666663</v>
      </c>
      <c r="J20" s="2" t="str" cm="1">
        <f t="array" ref="J20">_xlfn.XLOOKUP(I20,Table1[Mardi],Table1[[Début]:[Fin]],"")</f>
        <v/>
      </c>
    </row>
    <row r="21" spans="1:11" x14ac:dyDescent="0.4">
      <c r="A21" t="s">
        <v>251</v>
      </c>
      <c r="B21" t="s">
        <v>252</v>
      </c>
      <c r="D21" s="2" t="str" cm="1">
        <f t="array" ref="D21">_xlfn.XLOOKUP(C21,Table1[Mardi],Table1[[Début]:[Fin]],"")</f>
        <v/>
      </c>
      <c r="G21" s="2" t="str" cm="1">
        <f t="array" ref="G21">_xlfn.XLOOKUP(F21,Table1[Mardi],Table1[[Début]:[Fin]],"")</f>
        <v/>
      </c>
      <c r="J21" s="2" t="str" cm="1">
        <f t="array" ref="J21">_xlfn.XLOOKUP(I21,Table1[Mardi],Table1[[Début]:[Fin]],"")</f>
        <v/>
      </c>
    </row>
    <row r="22" spans="1:11" x14ac:dyDescent="0.4">
      <c r="A22" t="s">
        <v>253</v>
      </c>
      <c r="B22" t="s">
        <v>254</v>
      </c>
      <c r="C22" t="s">
        <v>31</v>
      </c>
      <c r="D22" s="2" cm="1">
        <f t="array" ref="D22:E22">_xlfn.XLOOKUP(C22,Table1[Mardi],Table1[[Début]:[Fin]],"")</f>
        <v>0.93402777777777779</v>
      </c>
      <c r="E22" s="2">
        <v>0.98611111111111116</v>
      </c>
      <c r="G22" s="2" t="str" cm="1">
        <f t="array" ref="G22">_xlfn.XLOOKUP(F22,Table1[Mardi],Table1[[Début]:[Fin]],"")</f>
        <v/>
      </c>
      <c r="J22" s="2" t="str" cm="1">
        <f t="array" ref="J22">_xlfn.XLOOKUP(I22,Table1[Mardi],Table1[[Début]:[Fin]],"")</f>
        <v/>
      </c>
    </row>
    <row r="23" spans="1:11" x14ac:dyDescent="0.4">
      <c r="A23" t="s">
        <v>255</v>
      </c>
      <c r="B23" t="s">
        <v>256</v>
      </c>
      <c r="D23" s="2" t="str" cm="1">
        <f t="array" ref="D23">_xlfn.XLOOKUP(C23,Table1[Mardi],Table1[[Début]:[Fin]],"")</f>
        <v/>
      </c>
      <c r="G23" s="2" t="str" cm="1">
        <f t="array" ref="G23">_xlfn.XLOOKUP(F23,Table1[Mardi],Table1[[Début]:[Fin]],"")</f>
        <v/>
      </c>
      <c r="J23" s="2" t="str" cm="1">
        <f t="array" ref="J23">_xlfn.XLOOKUP(I23,Table1[Mardi],Table1[[Début]:[Fin]],"")</f>
        <v/>
      </c>
    </row>
    <row r="24" spans="1:11" x14ac:dyDescent="0.4">
      <c r="A24" t="s">
        <v>257</v>
      </c>
      <c r="B24" t="s">
        <v>258</v>
      </c>
      <c r="C24" t="s">
        <v>14</v>
      </c>
      <c r="D24" s="2" cm="1">
        <f t="array" ref="D24:E24">_xlfn.XLOOKUP(C24,Table1[Mardi],Table1[[Début]:[Fin]],"")</f>
        <v>0.99305555555555558</v>
      </c>
      <c r="E24" s="2">
        <v>5.9027777777777776E-2</v>
      </c>
      <c r="F24" t="s">
        <v>31</v>
      </c>
      <c r="G24" s="2" cm="1">
        <f t="array" ref="G24:H24">_xlfn.XLOOKUP(F24,Table1[Mardi],Table1[[Début]:[Fin]],"")</f>
        <v>0.93402777777777779</v>
      </c>
      <c r="H24" s="2">
        <v>0.98611111111111116</v>
      </c>
      <c r="I24" t="s">
        <v>13</v>
      </c>
      <c r="J24" s="2" cm="1">
        <f t="array" ref="J24:K24">_xlfn.XLOOKUP(I24,Table1[Mardi],Table1[[Début]:[Fin]],"")</f>
        <v>0.875</v>
      </c>
      <c r="K24" s="2">
        <v>0.92708333333333337</v>
      </c>
    </row>
    <row r="25" spans="1:11" x14ac:dyDescent="0.4">
      <c r="A25" t="s">
        <v>259</v>
      </c>
      <c r="B25" t="s">
        <v>260</v>
      </c>
      <c r="D25" s="2" t="str" cm="1">
        <f t="array" ref="D25">_xlfn.XLOOKUP(C25,Table1[Mardi],Table1[[Début]:[Fin]],"")</f>
        <v/>
      </c>
      <c r="G25" s="2" t="str" cm="1">
        <f t="array" ref="G25">_xlfn.XLOOKUP(F25,Table1[Mardi],Table1[[Début]:[Fin]],"")</f>
        <v/>
      </c>
      <c r="J25" s="2" t="str" cm="1">
        <f t="array" ref="J25">_xlfn.XLOOKUP(I25,Table1[Mardi],Table1[[Début]:[Fin]],"")</f>
        <v/>
      </c>
    </row>
    <row r="26" spans="1:11" x14ac:dyDescent="0.4">
      <c r="A26" t="s">
        <v>261</v>
      </c>
      <c r="B26" t="s">
        <v>262</v>
      </c>
      <c r="D26" s="2" t="str" cm="1">
        <f t="array" ref="D26">_xlfn.XLOOKUP(C26,Table1[Mardi],Table1[[Début]:[Fin]],"")</f>
        <v/>
      </c>
      <c r="G26" s="2" t="str" cm="1">
        <f t="array" ref="G26">_xlfn.XLOOKUP(F26,Table1[Mardi],Table1[[Début]:[Fin]],"")</f>
        <v/>
      </c>
      <c r="J26" s="2" t="str" cm="1">
        <f t="array" ref="J26">_xlfn.XLOOKUP(I26,Table1[Mardi],Table1[[Début]:[Fin]],"")</f>
        <v/>
      </c>
    </row>
    <row r="27" spans="1:11" x14ac:dyDescent="0.4">
      <c r="A27" t="s">
        <v>263</v>
      </c>
      <c r="B27" t="s">
        <v>264</v>
      </c>
      <c r="C27" t="s">
        <v>14</v>
      </c>
      <c r="D27" s="2" cm="1">
        <f t="array" ref="D27:E27">_xlfn.XLOOKUP(C27,Table1[Mardi],Table1[[Début]:[Fin]],"")</f>
        <v>0.99305555555555558</v>
      </c>
      <c r="E27" s="2">
        <v>5.9027777777777776E-2</v>
      </c>
      <c r="G27" s="2" t="str" cm="1">
        <f t="array" ref="G27">_xlfn.XLOOKUP(F27,Table1[Mardi],Table1[[Début]:[Fin]],"")</f>
        <v/>
      </c>
      <c r="J27" s="2" t="str" cm="1">
        <f t="array" ref="J27">_xlfn.XLOOKUP(I27,Table1[Mardi],Table1[[Début]:[Fin]],"")</f>
        <v/>
      </c>
    </row>
    <row r="28" spans="1:11" x14ac:dyDescent="0.4">
      <c r="A28" t="s">
        <v>265</v>
      </c>
      <c r="B28" t="s">
        <v>264</v>
      </c>
      <c r="C28" t="s">
        <v>31</v>
      </c>
      <c r="D28" s="2" cm="1">
        <f t="array" ref="D28:E28">_xlfn.XLOOKUP(C28,Table1[Mardi],Table1[[Début]:[Fin]],"")</f>
        <v>0.93402777777777779</v>
      </c>
      <c r="E28" s="2">
        <v>0.98611111111111116</v>
      </c>
      <c r="F28" t="s">
        <v>30</v>
      </c>
      <c r="G28" s="2" cm="1">
        <f t="array" ref="G28:H28">_xlfn.XLOOKUP(F28,Table1[Mardi],Table1[[Début]:[Fin]],"")</f>
        <v>0.82291666666666663</v>
      </c>
      <c r="H28" s="2">
        <v>0.86458333333333326</v>
      </c>
      <c r="I28" t="s">
        <v>14</v>
      </c>
      <c r="J28" s="2" cm="1">
        <f t="array" ref="J28:K28">_xlfn.XLOOKUP(I28,Table1[Mardi],Table1[[Début]:[Fin]],"")</f>
        <v>0.99305555555555558</v>
      </c>
      <c r="K28" s="2">
        <v>5.9027777777777776E-2</v>
      </c>
    </row>
    <row r="29" spans="1:11" x14ac:dyDescent="0.4">
      <c r="A29" t="s">
        <v>266</v>
      </c>
      <c r="B29" t="s">
        <v>267</v>
      </c>
      <c r="C29" t="s">
        <v>12</v>
      </c>
      <c r="D29" s="2" cm="1">
        <f t="array" ref="D29:E29">_xlfn.XLOOKUP(C29,Table1[Mardi],Table1[[Début]:[Fin]],"")</f>
        <v>0.77083333333333337</v>
      </c>
      <c r="E29" s="2">
        <v>0.8125</v>
      </c>
      <c r="F29" t="s">
        <v>76</v>
      </c>
      <c r="G29" s="2" cm="1">
        <f t="array" ref="G29:H29">_xlfn.XLOOKUP(F29,Table1[Mardi],Table1[[Début]:[Fin]],"")</f>
        <v>0.8125</v>
      </c>
      <c r="H29" s="2">
        <v>0.86458333333333337</v>
      </c>
      <c r="J29" s="2" t="str" cm="1">
        <f t="array" ref="J29">_xlfn.XLOOKUP(I29,Table1[Mardi],Table1[[Début]:[Fin]],"")</f>
        <v/>
      </c>
    </row>
    <row r="30" spans="1:11" x14ac:dyDescent="0.4">
      <c r="A30" t="s">
        <v>268</v>
      </c>
      <c r="B30" t="s">
        <v>267</v>
      </c>
      <c r="D30" s="2" t="str" cm="1">
        <f t="array" ref="D30">_xlfn.XLOOKUP(C30,Table1[Mardi],Table1[[Début]:[Fin]],"")</f>
        <v/>
      </c>
      <c r="G30" s="2" t="str" cm="1">
        <f t="array" ref="G30">_xlfn.XLOOKUP(F30,Table1[Mardi],Table1[[Début]:[Fin]],"")</f>
        <v/>
      </c>
      <c r="J30" s="2" t="str" cm="1">
        <f t="array" ref="J30">_xlfn.XLOOKUP(I30,Table1[Mardi],Table1[[Début]:[Fin]],"")</f>
        <v/>
      </c>
    </row>
    <row r="31" spans="1:11" x14ac:dyDescent="0.4">
      <c r="A31" t="s">
        <v>269</v>
      </c>
      <c r="B31" t="s">
        <v>270</v>
      </c>
      <c r="C31" t="s">
        <v>14</v>
      </c>
      <c r="D31" s="2" cm="1">
        <f t="array" ref="D31:E31">_xlfn.XLOOKUP(C31,Table1[Mardi],Table1[[Début]:[Fin]],"")</f>
        <v>0.99305555555555558</v>
      </c>
      <c r="E31" s="2">
        <v>5.9027777777777776E-2</v>
      </c>
      <c r="F31" t="s">
        <v>31</v>
      </c>
      <c r="G31" s="2" cm="1">
        <f t="array" ref="G31:H31">_xlfn.XLOOKUP(F31,Table1[Mardi],Table1[[Début]:[Fin]],"")</f>
        <v>0.93402777777777779</v>
      </c>
      <c r="H31" s="2">
        <v>0.98611111111111116</v>
      </c>
      <c r="I31" t="s">
        <v>32</v>
      </c>
      <c r="J31" s="2" cm="1">
        <f t="array" ref="J31:K31">_xlfn.XLOOKUP(I31,Table1[Mardi],Table1[[Début]:[Fin]],"")</f>
        <v>1.0625</v>
      </c>
      <c r="K31" s="2">
        <v>1.1041666666666667</v>
      </c>
    </row>
    <row r="32" spans="1:11" x14ac:dyDescent="0.4">
      <c r="A32" t="s">
        <v>271</v>
      </c>
      <c r="B32" t="s">
        <v>270</v>
      </c>
      <c r="C32" t="s">
        <v>14</v>
      </c>
      <c r="D32" s="2" cm="1">
        <f t="array" ref="D32:E32">_xlfn.XLOOKUP(C32,Table1[Mardi],Table1[[Début]:[Fin]],"")</f>
        <v>0.99305555555555558</v>
      </c>
      <c r="E32" s="2">
        <v>5.9027777777777776E-2</v>
      </c>
      <c r="F32" t="s">
        <v>31</v>
      </c>
      <c r="G32" s="2" cm="1">
        <f t="array" ref="G32:H32">_xlfn.XLOOKUP(F32,Table1[Mardi],Table1[[Début]:[Fin]],"")</f>
        <v>0.93402777777777779</v>
      </c>
      <c r="H32" s="2">
        <v>0.98611111111111116</v>
      </c>
      <c r="I32" t="s">
        <v>13</v>
      </c>
      <c r="J32" s="2" cm="1">
        <f t="array" ref="J32:K32">_xlfn.XLOOKUP(I32,Table1[Mardi],Table1[[Début]:[Fin]],"")</f>
        <v>0.875</v>
      </c>
      <c r="K32" s="2">
        <v>0.92708333333333337</v>
      </c>
    </row>
    <row r="33" spans="1:11" x14ac:dyDescent="0.4">
      <c r="A33" t="s">
        <v>272</v>
      </c>
      <c r="B33" t="s">
        <v>273</v>
      </c>
      <c r="D33" s="2" t="str" cm="1">
        <f t="array" ref="D33">_xlfn.XLOOKUP(C33,Table1[Mardi],Table1[[Début]:[Fin]],"")</f>
        <v/>
      </c>
      <c r="G33" s="2" t="str" cm="1">
        <f t="array" ref="G33">_xlfn.XLOOKUP(F33,Table1[Mardi],Table1[[Début]:[Fin]],"")</f>
        <v/>
      </c>
      <c r="J33" s="2" t="str" cm="1">
        <f t="array" ref="J33">_xlfn.XLOOKUP(I33,Table1[Mardi],Table1[[Début]:[Fin]],"")</f>
        <v/>
      </c>
    </row>
    <row r="34" spans="1:11" x14ac:dyDescent="0.4">
      <c r="A34" t="s">
        <v>274</v>
      </c>
      <c r="B34" t="s">
        <v>275</v>
      </c>
      <c r="D34" s="2" t="str" cm="1">
        <f t="array" ref="D34">_xlfn.XLOOKUP(C34,Table1[Mardi],Table1[[Début]:[Fin]],"")</f>
        <v/>
      </c>
      <c r="G34" s="2" t="str" cm="1">
        <f t="array" ref="G34">_xlfn.XLOOKUP(F34,Table1[Mardi],Table1[[Début]:[Fin]],"")</f>
        <v/>
      </c>
      <c r="J34" s="2" t="str" cm="1">
        <f t="array" ref="J34">_xlfn.XLOOKUP(I34,Table1[Mardi],Table1[[Début]:[Fin]],"")</f>
        <v/>
      </c>
    </row>
    <row r="35" spans="1:11" x14ac:dyDescent="0.4">
      <c r="A35" t="s">
        <v>276</v>
      </c>
      <c r="B35" t="s">
        <v>277</v>
      </c>
      <c r="D35" s="2" t="str" cm="1">
        <f t="array" ref="D35">_xlfn.XLOOKUP(C35,Table1[Mardi],Table1[[Début]:[Fin]],"")</f>
        <v/>
      </c>
      <c r="G35" s="2" t="str" cm="1">
        <f t="array" ref="G35">_xlfn.XLOOKUP(F35,Table1[Mardi],Table1[[Début]:[Fin]],"")</f>
        <v/>
      </c>
      <c r="J35" s="2" t="str" cm="1">
        <f t="array" ref="J35">_xlfn.XLOOKUP(I35,Table1[Mardi],Table1[[Début]:[Fin]],"")</f>
        <v/>
      </c>
    </row>
    <row r="36" spans="1:11" x14ac:dyDescent="0.4">
      <c r="A36" t="s">
        <v>278</v>
      </c>
      <c r="B36" t="s">
        <v>279</v>
      </c>
      <c r="C36" t="s">
        <v>31</v>
      </c>
      <c r="D36" s="2" cm="1">
        <f t="array" ref="D36:E36">_xlfn.XLOOKUP(C36,Table1[Mardi],Table1[[Début]:[Fin]],"")</f>
        <v>0.93402777777777779</v>
      </c>
      <c r="E36" s="2">
        <v>0.98611111111111116</v>
      </c>
      <c r="F36" t="s">
        <v>13</v>
      </c>
      <c r="G36" s="2" cm="1">
        <f t="array" ref="G36:H36">_xlfn.XLOOKUP(F36,Table1[Mardi],Table1[[Début]:[Fin]],"")</f>
        <v>0.875</v>
      </c>
      <c r="H36" s="2">
        <v>0.92708333333333337</v>
      </c>
      <c r="I36" t="s">
        <v>14</v>
      </c>
      <c r="J36" s="2" cm="1">
        <f t="array" ref="J36:K36">_xlfn.XLOOKUP(I36,Table1[Mardi],Table1[[Début]:[Fin]],"")</f>
        <v>0.99305555555555558</v>
      </c>
      <c r="K36" s="2">
        <v>5.9027777777777776E-2</v>
      </c>
    </row>
    <row r="37" spans="1:11" x14ac:dyDescent="0.4">
      <c r="A37" t="s">
        <v>265</v>
      </c>
      <c r="B37" t="s">
        <v>280</v>
      </c>
      <c r="D37" s="2" t="str" cm="1">
        <f t="array" ref="D37">_xlfn.XLOOKUP(C37,Table1[Mardi],Table1[[Début]:[Fin]],"")</f>
        <v/>
      </c>
      <c r="G37" s="2" t="str" cm="1">
        <f t="array" ref="G37">_xlfn.XLOOKUP(F37,Table1[Mardi],Table1[[Début]:[Fin]],"")</f>
        <v/>
      </c>
      <c r="J37" s="2" t="str" cm="1">
        <f t="array" ref="J37">_xlfn.XLOOKUP(I37,Table1[Mardi],Table1[[Début]:[Fin]],"")</f>
        <v/>
      </c>
    </row>
    <row r="38" spans="1:11" x14ac:dyDescent="0.4">
      <c r="A38" t="s">
        <v>281</v>
      </c>
      <c r="B38" t="s">
        <v>282</v>
      </c>
      <c r="D38" s="2" t="str" cm="1">
        <f t="array" ref="D38">_xlfn.XLOOKUP(C38,Table1[Mardi],Table1[[Début]:[Fin]],"")</f>
        <v/>
      </c>
      <c r="G38" s="2" t="str" cm="1">
        <f t="array" ref="G38">_xlfn.XLOOKUP(F38,Table1[Mardi],Table1[[Début]:[Fin]],"")</f>
        <v/>
      </c>
      <c r="J38" s="2" t="str" cm="1">
        <f t="array" ref="J38">_xlfn.XLOOKUP(I38,Table1[Mardi],Table1[[Début]:[Fin]],"")</f>
        <v/>
      </c>
    </row>
    <row r="39" spans="1:11" x14ac:dyDescent="0.4">
      <c r="A39" t="s">
        <v>224</v>
      </c>
      <c r="B39" t="s">
        <v>283</v>
      </c>
      <c r="D39" s="2" t="str" cm="1">
        <f t="array" ref="D39">_xlfn.XLOOKUP(C39,Table1[Mardi],Table1[[Début]:[Fin]],"")</f>
        <v/>
      </c>
      <c r="G39" s="2" t="str" cm="1">
        <f t="array" ref="G39">_xlfn.XLOOKUP(F39,Table1[Mardi],Table1[[Début]:[Fin]],"")</f>
        <v/>
      </c>
      <c r="J39" s="2" t="str" cm="1">
        <f t="array" ref="J39">_xlfn.XLOOKUP(I39,Table1[Mardi],Table1[[Début]:[Fin]],"")</f>
        <v/>
      </c>
    </row>
    <row r="40" spans="1:11" x14ac:dyDescent="0.4">
      <c r="A40" t="s">
        <v>284</v>
      </c>
      <c r="B40" t="s">
        <v>285</v>
      </c>
      <c r="C40" t="s">
        <v>14</v>
      </c>
      <c r="D40" s="2" cm="1">
        <f t="array" ref="D40:E40">_xlfn.XLOOKUP(C40,Table1[Mardi],Table1[[Début]:[Fin]],"")</f>
        <v>0.99305555555555558</v>
      </c>
      <c r="E40" s="2">
        <v>5.9027777777777776E-2</v>
      </c>
      <c r="G40" s="2" t="str" cm="1">
        <f t="array" ref="G40">_xlfn.XLOOKUP(F40,Table1[Mardi],Table1[[Début]:[Fin]],"")</f>
        <v/>
      </c>
      <c r="J40" s="2" t="str" cm="1">
        <f t="array" ref="J40">_xlfn.XLOOKUP(I40,Table1[Mardi],Table1[[Début]:[Fin]],"")</f>
        <v/>
      </c>
    </row>
    <row r="41" spans="1:11" x14ac:dyDescent="0.4">
      <c r="A41" t="s">
        <v>286</v>
      </c>
      <c r="B41" t="s">
        <v>287</v>
      </c>
      <c r="D41" s="2" t="str" cm="1">
        <f t="array" ref="D41">_xlfn.XLOOKUP(C41,Table1[Mardi],Table1[[Début]:[Fin]],"")</f>
        <v/>
      </c>
      <c r="G41" s="2" t="str" cm="1">
        <f t="array" ref="G41">_xlfn.XLOOKUP(F41,Table1[Mardi],Table1[[Début]:[Fin]],"")</f>
        <v/>
      </c>
      <c r="J41" s="2" t="str" cm="1">
        <f t="array" ref="J41">_xlfn.XLOOKUP(I41,Table1[Mardi],Table1[[Début]:[Fin]],"")</f>
        <v/>
      </c>
    </row>
    <row r="42" spans="1:11" x14ac:dyDescent="0.4">
      <c r="A42" t="s">
        <v>288</v>
      </c>
      <c r="B42" t="s">
        <v>289</v>
      </c>
      <c r="D42" s="2" t="str" cm="1">
        <f t="array" ref="D42">_xlfn.XLOOKUP(C42,Table1[Mardi],Table1[[Début]:[Fin]],"")</f>
        <v/>
      </c>
      <c r="G42" s="2" t="str" cm="1">
        <f t="array" ref="G42">_xlfn.XLOOKUP(F42,Table1[Mardi],Table1[[Début]:[Fin]],"")</f>
        <v/>
      </c>
      <c r="J42" s="2" t="str" cm="1">
        <f t="array" ref="J42">_xlfn.XLOOKUP(I42,Table1[Mardi],Table1[[Début]:[Fin]],"")</f>
        <v/>
      </c>
    </row>
    <row r="43" spans="1:11" x14ac:dyDescent="0.4">
      <c r="A43" t="s">
        <v>290</v>
      </c>
      <c r="B43" t="s">
        <v>291</v>
      </c>
      <c r="C43" t="s">
        <v>14</v>
      </c>
      <c r="D43" s="2" cm="1">
        <f t="array" ref="D43:E43">_xlfn.XLOOKUP(C43,Table1[Mardi],Table1[[Début]:[Fin]],"")</f>
        <v>0.99305555555555558</v>
      </c>
      <c r="E43" s="2">
        <v>5.9027777777777776E-2</v>
      </c>
      <c r="G43" s="2" t="str" cm="1">
        <f t="array" ref="G43">_xlfn.XLOOKUP(F43,Table1[Mardi],Table1[[Début]:[Fin]],"")</f>
        <v/>
      </c>
      <c r="J43" s="2" t="str" cm="1">
        <f t="array" ref="J43">_xlfn.XLOOKUP(I43,Table1[Mardi],Table1[[Début]:[Fin]],"")</f>
        <v/>
      </c>
    </row>
    <row r="44" spans="1:11" x14ac:dyDescent="0.4">
      <c r="A44" t="s">
        <v>292</v>
      </c>
      <c r="B44" t="s">
        <v>293</v>
      </c>
      <c r="C44" t="s">
        <v>31</v>
      </c>
      <c r="D44" s="2" cm="1">
        <f t="array" ref="D44:E44">_xlfn.XLOOKUP(C44,Table1[Mardi],Table1[[Début]:[Fin]],"")</f>
        <v>0.93402777777777779</v>
      </c>
      <c r="E44" s="2">
        <v>0.98611111111111116</v>
      </c>
      <c r="F44" t="s">
        <v>32</v>
      </c>
      <c r="G44" s="2" cm="1">
        <f t="array" ref="G44:H44">_xlfn.XLOOKUP(F44,Table1[Mardi],Table1[[Début]:[Fin]],"")</f>
        <v>1.0625</v>
      </c>
      <c r="H44" s="2">
        <v>1.1041666666666667</v>
      </c>
      <c r="J44" s="2" t="str" cm="1">
        <f t="array" ref="J44">_xlfn.XLOOKUP(I44,Table1[Mardi],Table1[[Début]:[Fin]],"")</f>
        <v/>
      </c>
    </row>
    <row r="45" spans="1:11" x14ac:dyDescent="0.4">
      <c r="A45" t="s">
        <v>294</v>
      </c>
      <c r="B45" t="s">
        <v>295</v>
      </c>
      <c r="C45" t="s">
        <v>95</v>
      </c>
      <c r="D45" s="2" cm="1">
        <f t="array" ref="D45:E45">_xlfn.XLOOKUP(C45,Table1[Mardi],Table1[[Début]:[Fin]],"")</f>
        <v>0.88541666666666663</v>
      </c>
      <c r="E45" s="2">
        <v>0.92708333333333326</v>
      </c>
      <c r="F45" t="s">
        <v>30</v>
      </c>
      <c r="G45" s="2" cm="1">
        <f t="array" ref="G45:H45">_xlfn.XLOOKUP(F45,Table1[Mardi],Table1[[Début]:[Fin]],"")</f>
        <v>0.82291666666666663</v>
      </c>
      <c r="H45" s="2">
        <v>0.86458333333333326</v>
      </c>
      <c r="J45" s="2" t="str" cm="1">
        <f t="array" ref="J45">_xlfn.XLOOKUP(I45,Table1[Mardi],Table1[[Début]:[Fin]],"")</f>
        <v/>
      </c>
    </row>
    <row r="46" spans="1:11" x14ac:dyDescent="0.4">
      <c r="A46" t="s">
        <v>296</v>
      </c>
      <c r="B46" t="s">
        <v>297</v>
      </c>
      <c r="C46" t="s">
        <v>12</v>
      </c>
      <c r="D46" s="2" cm="1">
        <f t="array" ref="D46:E46">_xlfn.XLOOKUP(C46,Table1[Mardi],Table1[[Début]:[Fin]],"")</f>
        <v>0.77083333333333337</v>
      </c>
      <c r="E46" s="2">
        <v>0.8125</v>
      </c>
      <c r="F46" t="s">
        <v>32</v>
      </c>
      <c r="G46" s="2" cm="1">
        <f t="array" ref="G46:H46">_xlfn.XLOOKUP(F46,Table1[Mardi],Table1[[Début]:[Fin]],"")</f>
        <v>1.0625</v>
      </c>
      <c r="H46" s="2">
        <v>1.1041666666666667</v>
      </c>
      <c r="J46" s="2" t="str" cm="1">
        <f t="array" ref="J46">_xlfn.XLOOKUP(I46,Table1[Mardi],Table1[[Début]:[Fin]],"")</f>
        <v/>
      </c>
    </row>
    <row r="47" spans="1:11" x14ac:dyDescent="0.4">
      <c r="A47" t="s">
        <v>298</v>
      </c>
      <c r="B47" t="s">
        <v>299</v>
      </c>
      <c r="C47" t="s">
        <v>14</v>
      </c>
      <c r="D47" s="2" cm="1">
        <f t="array" ref="D47:E47">_xlfn.XLOOKUP(C47,Table1[Mardi],Table1[[Début]:[Fin]],"")</f>
        <v>0.99305555555555558</v>
      </c>
      <c r="E47" s="2">
        <v>5.9027777777777776E-2</v>
      </c>
      <c r="F47" t="s">
        <v>32</v>
      </c>
      <c r="G47" s="2" cm="1">
        <f t="array" ref="G47:H47">_xlfn.XLOOKUP(F47,Table1[Mardi],Table1[[Début]:[Fin]],"")</f>
        <v>1.0625</v>
      </c>
      <c r="H47" s="2">
        <v>1.1041666666666667</v>
      </c>
      <c r="J47" s="2" t="str" cm="1">
        <f t="array" ref="J47">_xlfn.XLOOKUP(I47,Table1[Mardi],Table1[[Début]:[Fin]],"")</f>
        <v/>
      </c>
    </row>
    <row r="48" spans="1:11" x14ac:dyDescent="0.4">
      <c r="A48" t="s">
        <v>300</v>
      </c>
      <c r="B48" t="s">
        <v>301</v>
      </c>
      <c r="C48" t="s">
        <v>14</v>
      </c>
      <c r="D48" s="2" cm="1">
        <f t="array" ref="D48:E48">_xlfn.XLOOKUP(C48,Table1[Mardi],Table1[[Début]:[Fin]],"")</f>
        <v>0.99305555555555558</v>
      </c>
      <c r="E48" s="2">
        <v>5.9027777777777776E-2</v>
      </c>
      <c r="G48" s="2" t="str" cm="1">
        <f t="array" ref="G48">_xlfn.XLOOKUP(F48,Table1[Mardi],Table1[[Début]:[Fin]],"")</f>
        <v/>
      </c>
      <c r="J48" s="2" t="str" cm="1">
        <f t="array" ref="J48">_xlfn.XLOOKUP(I48,Table1[Mardi],Table1[[Début]:[Fin]],"")</f>
        <v/>
      </c>
    </row>
    <row r="49" spans="1:11" x14ac:dyDescent="0.4">
      <c r="A49" t="s">
        <v>302</v>
      </c>
      <c r="B49" t="s">
        <v>303</v>
      </c>
      <c r="C49" t="s">
        <v>14</v>
      </c>
      <c r="D49" s="2" cm="1">
        <f t="array" ref="D49:E49">_xlfn.XLOOKUP(C49,Table1[Mardi],Table1[[Début]:[Fin]],"")</f>
        <v>0.99305555555555558</v>
      </c>
      <c r="E49" s="2">
        <v>5.9027777777777776E-2</v>
      </c>
      <c r="G49" s="2" t="str" cm="1">
        <f t="array" ref="G49">_xlfn.XLOOKUP(F49,Table1[Mardi],Table1[[Début]:[Fin]],"")</f>
        <v/>
      </c>
      <c r="J49" s="2" t="str" cm="1">
        <f t="array" ref="J49">_xlfn.XLOOKUP(I49,Table1[Mardi],Table1[[Début]:[Fin]],"")</f>
        <v/>
      </c>
    </row>
    <row r="50" spans="1:11" x14ac:dyDescent="0.4">
      <c r="A50" t="s">
        <v>265</v>
      </c>
      <c r="B50" t="s">
        <v>304</v>
      </c>
      <c r="D50" s="2" t="str" cm="1">
        <f t="array" ref="D50">_xlfn.XLOOKUP(C50,Table1[Mardi],Table1[[Début]:[Fin]],"")</f>
        <v/>
      </c>
      <c r="G50" s="2" t="str" cm="1">
        <f t="array" ref="G50">_xlfn.XLOOKUP(F50,Table1[Mardi],Table1[[Début]:[Fin]],"")</f>
        <v/>
      </c>
      <c r="J50" s="2" t="str" cm="1">
        <f t="array" ref="J50">_xlfn.XLOOKUP(I50,Table1[Mardi],Table1[[Début]:[Fin]],"")</f>
        <v/>
      </c>
    </row>
    <row r="51" spans="1:11" x14ac:dyDescent="0.4">
      <c r="A51" t="s">
        <v>305</v>
      </c>
      <c r="B51" t="s">
        <v>306</v>
      </c>
      <c r="C51" t="s">
        <v>32</v>
      </c>
      <c r="D51" s="2" cm="1">
        <f t="array" ref="D51:E51">_xlfn.XLOOKUP(C51,Table1[Mardi],Table1[[Début]:[Fin]],"")</f>
        <v>1.0625</v>
      </c>
      <c r="E51" s="2">
        <v>1.1041666666666667</v>
      </c>
      <c r="G51" s="2" t="str" cm="1">
        <f t="array" ref="G51">_xlfn.XLOOKUP(F51,Table1[Mardi],Table1[[Début]:[Fin]],"")</f>
        <v/>
      </c>
      <c r="J51" s="2" t="str" cm="1">
        <f t="array" ref="J51">_xlfn.XLOOKUP(I51,Table1[Mardi],Table1[[Début]:[Fin]],"")</f>
        <v/>
      </c>
    </row>
    <row r="52" spans="1:11" x14ac:dyDescent="0.4">
      <c r="A52" t="s">
        <v>307</v>
      </c>
      <c r="B52" t="s">
        <v>308</v>
      </c>
      <c r="C52" t="s">
        <v>14</v>
      </c>
      <c r="D52" s="2" cm="1">
        <f t="array" ref="D52:E52">_xlfn.XLOOKUP(C52,Table1[Mardi],Table1[[Début]:[Fin]],"")</f>
        <v>0.99305555555555558</v>
      </c>
      <c r="E52" s="2">
        <v>5.9027777777777776E-2</v>
      </c>
      <c r="G52" s="2" t="str" cm="1">
        <f t="array" ref="G52">_xlfn.XLOOKUP(F52,Table1[Mardi],Table1[[Début]:[Fin]],"")</f>
        <v/>
      </c>
      <c r="J52" s="2" t="str" cm="1">
        <f t="array" ref="J52">_xlfn.XLOOKUP(I52,Table1[Mardi],Table1[[Début]:[Fin]],"")</f>
        <v/>
      </c>
    </row>
    <row r="53" spans="1:11" x14ac:dyDescent="0.4">
      <c r="A53" t="s">
        <v>309</v>
      </c>
      <c r="B53" t="s">
        <v>310</v>
      </c>
      <c r="C53" t="s">
        <v>95</v>
      </c>
      <c r="D53" s="2" cm="1">
        <f t="array" ref="D53:E53">_xlfn.XLOOKUP(C53,Table1[Mardi],Table1[[Début]:[Fin]],"")</f>
        <v>0.88541666666666663</v>
      </c>
      <c r="E53" s="2">
        <v>0.92708333333333326</v>
      </c>
      <c r="F53" t="s">
        <v>96</v>
      </c>
      <c r="G53" s="2" cm="1">
        <f t="array" ref="G53:H53">_xlfn.XLOOKUP(F53,Table1[Mardi],Table1[[Début]:[Fin]],"")</f>
        <v>1.0208333333333333</v>
      </c>
      <c r="H53" s="2">
        <v>1.0625</v>
      </c>
      <c r="I53" t="s">
        <v>93</v>
      </c>
      <c r="J53" s="2" cm="1">
        <f t="array" ref="J53:K53">_xlfn.XLOOKUP(I53,Table1[Mardi],Table1[[Début]:[Fin]],"")</f>
        <v>0.6875</v>
      </c>
      <c r="K53" s="2">
        <v>0.72916666666666663</v>
      </c>
    </row>
    <row r="54" spans="1:11" x14ac:dyDescent="0.4">
      <c r="A54" t="s">
        <v>311</v>
      </c>
      <c r="B54" t="s">
        <v>312</v>
      </c>
      <c r="C54" t="s">
        <v>14</v>
      </c>
      <c r="D54" s="2" cm="1">
        <f t="array" ref="D54:E54">_xlfn.XLOOKUP(C54,Table1[Mardi],Table1[[Début]:[Fin]],"")</f>
        <v>0.99305555555555558</v>
      </c>
      <c r="E54" s="2">
        <v>5.9027777777777776E-2</v>
      </c>
      <c r="F54" t="s">
        <v>31</v>
      </c>
      <c r="G54" s="2" cm="1">
        <f t="array" ref="G54:H54">_xlfn.XLOOKUP(F54,Table1[Mardi],Table1[[Début]:[Fin]],"")</f>
        <v>0.93402777777777779</v>
      </c>
      <c r="H54" s="2">
        <v>0.98611111111111116</v>
      </c>
      <c r="J54" s="2" t="str" cm="1">
        <f t="array" ref="J54">_xlfn.XLOOKUP(I54,Table1[Mardi],Table1[[Début]:[Fin]],"")</f>
        <v/>
      </c>
    </row>
    <row r="55" spans="1:11" x14ac:dyDescent="0.4">
      <c r="A55" t="s">
        <v>313</v>
      </c>
      <c r="B55" t="s">
        <v>314</v>
      </c>
      <c r="D55" s="2" t="str" cm="1">
        <f t="array" ref="D55">_xlfn.XLOOKUP(C55,Table1[Mardi],Table1[[Début]:[Fin]],"")</f>
        <v/>
      </c>
      <c r="G55" s="2" t="str" cm="1">
        <f t="array" ref="G55">_xlfn.XLOOKUP(F55,Table1[Mardi],Table1[[Début]:[Fin]],"")</f>
        <v/>
      </c>
      <c r="J55" s="2" t="str" cm="1">
        <f t="array" ref="J55">_xlfn.XLOOKUP(I55,Table1[Mardi],Table1[[Début]:[Fin]],"")</f>
        <v/>
      </c>
    </row>
    <row r="56" spans="1:11" x14ac:dyDescent="0.4">
      <c r="A56" t="s">
        <v>315</v>
      </c>
      <c r="B56" t="s">
        <v>316</v>
      </c>
      <c r="C56" t="s">
        <v>31</v>
      </c>
      <c r="D56" s="2" cm="1">
        <f t="array" ref="D56:E56">_xlfn.XLOOKUP(C56,Table1[Mardi],Table1[[Début]:[Fin]],"")</f>
        <v>0.93402777777777779</v>
      </c>
      <c r="E56" s="2">
        <v>0.98611111111111116</v>
      </c>
      <c r="G56" s="2" t="str" cm="1">
        <f t="array" ref="G56">_xlfn.XLOOKUP(F56,Table1[Mardi],Table1[[Début]:[Fin]],"")</f>
        <v/>
      </c>
      <c r="J56" s="2" t="str" cm="1">
        <f t="array" ref="J56">_xlfn.XLOOKUP(I56,Table1[Mardi],Table1[[Début]:[Fin]],"")</f>
        <v/>
      </c>
    </row>
    <row r="57" spans="1:11" x14ac:dyDescent="0.4">
      <c r="A57" t="s">
        <v>317</v>
      </c>
      <c r="B57" t="s">
        <v>318</v>
      </c>
      <c r="C57" t="s">
        <v>14</v>
      </c>
      <c r="D57" s="2" cm="1">
        <f t="array" ref="D57:E57">_xlfn.XLOOKUP(C57,Table1[Mardi],Table1[[Début]:[Fin]],"")</f>
        <v>0.99305555555555558</v>
      </c>
      <c r="E57" s="2">
        <v>5.9027777777777776E-2</v>
      </c>
      <c r="F57" t="s">
        <v>32</v>
      </c>
      <c r="G57" s="2" cm="1">
        <f t="array" ref="G57:H57">_xlfn.XLOOKUP(F57,Table1[Mardi],Table1[[Début]:[Fin]],"")</f>
        <v>1.0625</v>
      </c>
      <c r="H57" s="2">
        <v>1.1041666666666667</v>
      </c>
      <c r="I57" t="s">
        <v>31</v>
      </c>
      <c r="J57" s="2" cm="1">
        <f t="array" ref="J57:K57">_xlfn.XLOOKUP(I57,Table1[Mardi],Table1[[Début]:[Fin]],"")</f>
        <v>0.93402777777777779</v>
      </c>
      <c r="K57" s="2">
        <v>0.98611111111111116</v>
      </c>
    </row>
    <row r="58" spans="1:11" x14ac:dyDescent="0.4">
      <c r="A58" t="s">
        <v>319</v>
      </c>
      <c r="B58" t="s">
        <v>320</v>
      </c>
      <c r="C58" t="s">
        <v>77</v>
      </c>
      <c r="D58" s="2" cm="1">
        <f t="array" ref="D58:E58">_xlfn.XLOOKUP(C58,Table1[Mardi],Table1[[Début]:[Fin]],"")</f>
        <v>0.9375</v>
      </c>
      <c r="E58" s="2">
        <v>0.97916666666666663</v>
      </c>
      <c r="G58" s="2" t="str" cm="1">
        <f t="array" ref="G58">_xlfn.XLOOKUP(F58,Table1[Mardi],Table1[[Début]:[Fin]],"")</f>
        <v/>
      </c>
      <c r="J58" s="2" t="str" cm="1">
        <f t="array" ref="J58">_xlfn.XLOOKUP(I58,Table1[Mardi],Table1[[Début]:[Fin]],"")</f>
        <v/>
      </c>
    </row>
    <row r="59" spans="1:11" x14ac:dyDescent="0.4">
      <c r="A59" t="s">
        <v>477</v>
      </c>
      <c r="B59" t="s">
        <v>478</v>
      </c>
      <c r="C59" t="s">
        <v>31</v>
      </c>
      <c r="D59" s="2" cm="1">
        <f t="array" ref="D59:E59">_xlfn.XLOOKUP(C59,Table1[Mardi],Table1[[Début]:[Fin]],"")</f>
        <v>0.93402777777777779</v>
      </c>
      <c r="E59" s="2">
        <v>0.98611111111111116</v>
      </c>
      <c r="F59" t="s">
        <v>14</v>
      </c>
      <c r="G59" s="2" cm="1">
        <f t="array" ref="G59:H59">_xlfn.XLOOKUP(F59,Table1[Mardi],Table1[[Début]:[Fin]],"")</f>
        <v>0.99305555555555558</v>
      </c>
      <c r="H59" s="2">
        <v>5.9027777777777776E-2</v>
      </c>
      <c r="I59" t="s">
        <v>13</v>
      </c>
      <c r="J59" s="2" cm="1">
        <f t="array" ref="J59:K59">_xlfn.XLOOKUP(I59,Table1[Mardi],Table1[[Début]:[Fin]],"")</f>
        <v>0.875</v>
      </c>
      <c r="K59" s="2">
        <v>0.92708333333333337</v>
      </c>
    </row>
    <row r="60" spans="1:11" x14ac:dyDescent="0.4">
      <c r="A60" t="s">
        <v>278</v>
      </c>
      <c r="B60" t="s">
        <v>321</v>
      </c>
      <c r="C60" t="s">
        <v>13</v>
      </c>
      <c r="D60" s="2" cm="1">
        <f t="array" ref="D60:E60">_xlfn.XLOOKUP(C60,Table1[Mardi],Table1[[Début]:[Fin]],"")</f>
        <v>0.875</v>
      </c>
      <c r="E60" s="2">
        <v>0.92708333333333337</v>
      </c>
      <c r="G60" s="2" t="str" cm="1">
        <f t="array" ref="G60">_xlfn.XLOOKUP(F60,Table1[Mardi],Table1[[Début]:[Fin]],"")</f>
        <v/>
      </c>
      <c r="J60" s="2" t="str" cm="1">
        <f t="array" ref="J60">_xlfn.XLOOKUP(I60,Table1[Mardi],Table1[[Début]:[Fin]],"")</f>
        <v/>
      </c>
    </row>
    <row r="61" spans="1:11" x14ac:dyDescent="0.4">
      <c r="A61" t="s">
        <v>319</v>
      </c>
      <c r="B61" t="s">
        <v>322</v>
      </c>
      <c r="C61" t="s">
        <v>32</v>
      </c>
      <c r="D61" s="2" cm="1">
        <f t="array" ref="D61:E61">_xlfn.XLOOKUP(C61,Table1[Mardi],Table1[[Début]:[Fin]],"")</f>
        <v>1.0625</v>
      </c>
      <c r="E61" s="2">
        <v>1.1041666666666667</v>
      </c>
      <c r="F61" t="s">
        <v>14</v>
      </c>
      <c r="G61" s="2" cm="1">
        <f t="array" ref="G61:H61">_xlfn.XLOOKUP(F61,Table1[Mardi],Table1[[Début]:[Fin]],"")</f>
        <v>0.99305555555555558</v>
      </c>
      <c r="H61" s="2">
        <v>5.9027777777777776E-2</v>
      </c>
      <c r="J61" s="2" t="str" cm="1">
        <f t="array" ref="J61">_xlfn.XLOOKUP(I61,Table1[Mardi],Table1[[Début]:[Fin]],"")</f>
        <v/>
      </c>
    </row>
    <row r="62" spans="1:11" x14ac:dyDescent="0.4">
      <c r="A62" t="s">
        <v>323</v>
      </c>
      <c r="B62" t="s">
        <v>324</v>
      </c>
      <c r="C62" t="s">
        <v>31</v>
      </c>
      <c r="D62" s="2" cm="1">
        <f t="array" ref="D62:E62">_xlfn.XLOOKUP(C62,Table1[Mardi],Table1[[Début]:[Fin]],"")</f>
        <v>0.93402777777777779</v>
      </c>
      <c r="E62" s="2">
        <v>0.98611111111111116</v>
      </c>
      <c r="F62" t="s">
        <v>13</v>
      </c>
      <c r="G62" s="2" cm="1">
        <f t="array" ref="G62:H62">_xlfn.XLOOKUP(F62,Table1[Mardi],Table1[[Début]:[Fin]],"")</f>
        <v>0.875</v>
      </c>
      <c r="H62" s="2">
        <v>0.92708333333333337</v>
      </c>
      <c r="J62" s="2" t="str" cm="1">
        <f t="array" ref="J62">_xlfn.XLOOKUP(I62,Table1[Mardi],Table1[[Début]:[Fin]],"")</f>
        <v/>
      </c>
    </row>
    <row r="63" spans="1:11" x14ac:dyDescent="0.4">
      <c r="A63" t="s">
        <v>278</v>
      </c>
      <c r="B63" t="s">
        <v>325</v>
      </c>
      <c r="C63" t="s">
        <v>12</v>
      </c>
      <c r="D63" s="2" cm="1">
        <f t="array" ref="D63:E63">_xlfn.XLOOKUP(C63,Table1[Mardi],Table1[[Début]:[Fin]],"")</f>
        <v>0.77083333333333337</v>
      </c>
      <c r="E63" s="2">
        <v>0.8125</v>
      </c>
      <c r="F63" t="s">
        <v>13</v>
      </c>
      <c r="G63" s="2" cm="1">
        <f t="array" ref="G63:H63">_xlfn.XLOOKUP(F63,Table1[Mardi],Table1[[Début]:[Fin]],"")</f>
        <v>0.875</v>
      </c>
      <c r="H63" s="2">
        <v>0.92708333333333337</v>
      </c>
      <c r="I63" t="s">
        <v>31</v>
      </c>
      <c r="J63" s="2" cm="1">
        <f t="array" ref="J63:K63">_xlfn.XLOOKUP(I63,Table1[Mardi],Table1[[Début]:[Fin]],"")</f>
        <v>0.93402777777777779</v>
      </c>
      <c r="K63" s="2">
        <v>0.98611111111111116</v>
      </c>
    </row>
    <row r="64" spans="1:11" x14ac:dyDescent="0.4">
      <c r="A64" t="s">
        <v>298</v>
      </c>
      <c r="B64" t="s">
        <v>479</v>
      </c>
    </row>
    <row r="65" spans="1:2" x14ac:dyDescent="0.4">
      <c r="A65" t="s">
        <v>480</v>
      </c>
      <c r="B65" t="s">
        <v>481</v>
      </c>
    </row>
    <row r="66" spans="1:2" x14ac:dyDescent="0.4">
      <c r="A66" t="s">
        <v>482</v>
      </c>
      <c r="B66" t="s">
        <v>291</v>
      </c>
    </row>
    <row r="67" spans="1:2" x14ac:dyDescent="0.4">
      <c r="A67" t="s">
        <v>483</v>
      </c>
      <c r="B67" t="s">
        <v>484</v>
      </c>
    </row>
    <row r="68" spans="1:2" x14ac:dyDescent="0.4">
      <c r="A68" t="s">
        <v>485</v>
      </c>
      <c r="B68" t="s">
        <v>486</v>
      </c>
    </row>
  </sheetData>
  <sheetProtection sheet="1" objects="1" scenarios="1"/>
  <protectedRanges>
    <protectedRange sqref="F1:F1048576 I1:I1048576" name="Concerts2"/>
    <protectedRange sqref="C1:C1048576" name="Concerts1"/>
  </protectedRanges>
  <conditionalFormatting sqref="A2:XFD68">
    <cfRule type="expression" dxfId="0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CEB765-3C20-4EAA-8816-9FE357B617C8}">
          <x14:formula1>
            <xm:f>Concerts!$A$2:$A$18</xm:f>
          </x14:formula1>
          <xm:sqref>C2:C63 F2:F63 I2:I63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BE80-5A54-4435-9512-2BB5720E9EFF}">
  <sheetPr codeName="Sheet2">
    <tabColor theme="5" tint="0.59999389629810485"/>
  </sheetPr>
  <dimension ref="A1:K63"/>
  <sheetViews>
    <sheetView workbookViewId="0">
      <selection activeCell="F3" sqref="F3"/>
    </sheetView>
  </sheetViews>
  <sheetFormatPr defaultRowHeight="14.6" x14ac:dyDescent="0.4"/>
  <cols>
    <col min="1" max="2" width="13.765625" customWidth="1"/>
    <col min="3" max="3" width="11.53515625" customWidth="1"/>
    <col min="4" max="5" width="8.765625" style="2" customWidth="1"/>
    <col min="6" max="6" width="11.53515625" customWidth="1"/>
    <col min="7" max="8" width="8.765625" style="2" customWidth="1"/>
    <col min="9" max="9" width="11.53515625" customWidth="1"/>
    <col min="10" max="11" width="8.765625" style="2" customWidth="1"/>
    <col min="12" max="12" width="3.15234375" customWidth="1"/>
  </cols>
  <sheetData>
    <row r="1" spans="1:11" s="6" customFormat="1" x14ac:dyDescent="0.4">
      <c r="A1" s="6" t="s">
        <v>0</v>
      </c>
      <c r="B1" s="6" t="s">
        <v>1</v>
      </c>
      <c r="C1" s="6" t="s">
        <v>4</v>
      </c>
      <c r="D1" s="7" t="s">
        <v>2</v>
      </c>
      <c r="E1" s="7" t="s">
        <v>3</v>
      </c>
      <c r="F1" s="6" t="s">
        <v>5</v>
      </c>
      <c r="G1" s="7" t="s">
        <v>2</v>
      </c>
      <c r="H1" s="7" t="s">
        <v>3</v>
      </c>
      <c r="I1" s="6" t="s">
        <v>116</v>
      </c>
      <c r="J1" s="7" t="s">
        <v>2</v>
      </c>
      <c r="K1" s="7" t="s">
        <v>3</v>
      </c>
    </row>
    <row r="2" spans="1:11" x14ac:dyDescent="0.4">
      <c r="A2" t="str" cm="1">
        <f t="array" ref="A2:B63">_xlfn._xlws.FILTER('[1]Bénévoles 2026 V2'!$E:$F,'[1]Bénévoles 2026 V2'!$B:$B=TRUE)</f>
        <v>Bouvet</v>
      </c>
      <c r="B2" t="str">
        <v>Agathe</v>
      </c>
      <c r="C2" t="s">
        <v>17</v>
      </c>
      <c r="D2" s="2" cm="1">
        <f t="array" ref="D2:E2">_xlfn.XLOOKUP(C2,Table2[Mercredi],Table2[[Début]:[Fin]],"")</f>
        <v>0.97569444444444442</v>
      </c>
      <c r="E2" s="2">
        <v>1.0590277777777777</v>
      </c>
      <c r="F2" t="s">
        <v>16</v>
      </c>
      <c r="G2" s="2" cm="1">
        <f t="array" ref="G2:H2">_xlfn.XLOOKUP(F2,Table2[Mercredi],Table2[[Début]:[Fin]],"")</f>
        <v>0.86458333333333337</v>
      </c>
      <c r="H2" s="2">
        <v>0.91319444444444453</v>
      </c>
      <c r="J2" s="2" t="str" cm="1">
        <f t="array" ref="J2">_xlfn.XLOOKUP(I2,Table2[Mercredi],Table2[[Début]:[Fin]],"")</f>
        <v/>
      </c>
    </row>
    <row r="3" spans="1:11" x14ac:dyDescent="0.4">
      <c r="A3" t="str">
        <v>Bulka</v>
      </c>
      <c r="B3" t="str">
        <v>Alegria Lily</v>
      </c>
      <c r="D3" s="2" t="str" cm="1">
        <f t="array" ref="D3">_xlfn.XLOOKUP(C3,Table2[Mercredi],Table2[[Début]:[Fin]],"")</f>
        <v/>
      </c>
      <c r="G3" s="2" t="str" cm="1">
        <f t="array" ref="G3">_xlfn.XLOOKUP(F3,Table2[Mercredi],Table2[[Début]:[Fin]],"")</f>
        <v/>
      </c>
      <c r="J3" s="2" t="str" cm="1">
        <f t="array" ref="J3">_xlfn.XLOOKUP(I3,Table2[Mercredi],Table2[[Début]:[Fin]],"")</f>
        <v/>
      </c>
    </row>
    <row r="4" spans="1:11" x14ac:dyDescent="0.4">
      <c r="A4" t="str">
        <v>Bastian</v>
      </c>
      <c r="B4" t="str">
        <v>Alexandra</v>
      </c>
      <c r="D4" s="2" t="str" cm="1">
        <f t="array" ref="D4">_xlfn.XLOOKUP(C4,Table2[Mercredi],Table2[[Début]:[Fin]],"")</f>
        <v/>
      </c>
      <c r="G4" s="2" t="str" cm="1">
        <f t="array" ref="G4">_xlfn.XLOOKUP(F4,Table2[Mercredi],Table2[[Début]:[Fin]],"")</f>
        <v/>
      </c>
      <c r="J4" s="2" t="str" cm="1">
        <f t="array" ref="J4">_xlfn.XLOOKUP(I4,Table2[Mercredi],Table2[[Début]:[Fin]],"")</f>
        <v/>
      </c>
    </row>
    <row r="5" spans="1:11" x14ac:dyDescent="0.4">
      <c r="A5" t="str">
        <v>L'Horset</v>
      </c>
      <c r="B5" t="str">
        <v>Alice</v>
      </c>
      <c r="D5" s="2" t="str" cm="1">
        <f t="array" ref="D5">_xlfn.XLOOKUP(C5,Table2[Mercredi],Table2[[Début]:[Fin]],"")</f>
        <v/>
      </c>
      <c r="G5" s="2" t="str" cm="1">
        <f t="array" ref="G5">_xlfn.XLOOKUP(F5,Table2[Mercredi],Table2[[Début]:[Fin]],"")</f>
        <v/>
      </c>
      <c r="J5" s="2" t="str" cm="1">
        <f t="array" ref="J5">_xlfn.XLOOKUP(I5,Table2[Mercredi],Table2[[Début]:[Fin]],"")</f>
        <v/>
      </c>
    </row>
    <row r="6" spans="1:11" x14ac:dyDescent="0.4">
      <c r="A6" t="str">
        <v>Ledru</v>
      </c>
      <c r="B6" t="str">
        <v>Ana-Lou</v>
      </c>
      <c r="D6" s="2" t="str" cm="1">
        <f t="array" ref="D6">_xlfn.XLOOKUP(C6,Table2[Mercredi],Table2[[Début]:[Fin]],"")</f>
        <v/>
      </c>
      <c r="G6" s="2" t="str" cm="1">
        <f t="array" ref="G6">_xlfn.XLOOKUP(F6,Table2[Mercredi],Table2[[Début]:[Fin]],"")</f>
        <v/>
      </c>
      <c r="J6" s="2" t="str" cm="1">
        <f t="array" ref="J6">_xlfn.XLOOKUP(I6,Table2[Mercredi],Table2[[Début]:[Fin]],"")</f>
        <v/>
      </c>
    </row>
    <row r="7" spans="1:11" x14ac:dyDescent="0.4">
      <c r="A7" t="str">
        <v>Pero</v>
      </c>
      <c r="B7" t="str">
        <v>Andy</v>
      </c>
      <c r="D7" s="2" t="str" cm="1">
        <f t="array" ref="D7">_xlfn.XLOOKUP(C7,Table2[Mercredi],Table2[[Début]:[Fin]],"")</f>
        <v/>
      </c>
      <c r="G7" s="2" t="str" cm="1">
        <f t="array" ref="G7">_xlfn.XLOOKUP(F7,Table2[Mercredi],Table2[[Début]:[Fin]],"")</f>
        <v/>
      </c>
      <c r="J7" s="2" t="str" cm="1">
        <f t="array" ref="J7">_xlfn.XLOOKUP(I7,Table2[Mercredi],Table2[[Début]:[Fin]],"")</f>
        <v/>
      </c>
    </row>
    <row r="8" spans="1:11" x14ac:dyDescent="0.4">
      <c r="A8" t="str">
        <v>Mallet</v>
      </c>
      <c r="B8" t="str">
        <v>Anna</v>
      </c>
      <c r="D8" s="2" t="str" cm="1">
        <f t="array" ref="D8">_xlfn.XLOOKUP(C8,Table2[Mercredi],Table2[[Début]:[Fin]],"")</f>
        <v/>
      </c>
      <c r="G8" s="2" t="str" cm="1">
        <f t="array" ref="G8">_xlfn.XLOOKUP(F8,Table2[Mercredi],Table2[[Début]:[Fin]],"")</f>
        <v/>
      </c>
      <c r="J8" s="2" t="str" cm="1">
        <f t="array" ref="J8">_xlfn.XLOOKUP(I8,Table2[Mercredi],Table2[[Début]:[Fin]],"")</f>
        <v/>
      </c>
    </row>
    <row r="9" spans="1:11" x14ac:dyDescent="0.4">
      <c r="A9" t="str">
        <v>Malric</v>
      </c>
      <c r="B9" t="str">
        <v>Annouk</v>
      </c>
      <c r="D9" s="2" t="str" cm="1">
        <f t="array" ref="D9">_xlfn.XLOOKUP(C9,Table2[Mercredi],Table2[[Début]:[Fin]],"")</f>
        <v/>
      </c>
      <c r="G9" s="2" t="str" cm="1">
        <f t="array" ref="G9">_xlfn.XLOOKUP(F9,Table2[Mercredi],Table2[[Début]:[Fin]],"")</f>
        <v/>
      </c>
      <c r="J9" s="2" t="str" cm="1">
        <f t="array" ref="J9">_xlfn.XLOOKUP(I9,Table2[Mercredi],Table2[[Début]:[Fin]],"")</f>
        <v/>
      </c>
    </row>
    <row r="10" spans="1:11" x14ac:dyDescent="0.4">
      <c r="A10" t="str">
        <v>Noël</v>
      </c>
      <c r="B10" t="str">
        <v>Antonin</v>
      </c>
      <c r="D10" s="2" t="str" cm="1">
        <f t="array" ref="D10">_xlfn.XLOOKUP(C10,Table2[Mercredi],Table2[[Début]:[Fin]],"")</f>
        <v/>
      </c>
      <c r="G10" s="2" t="str" cm="1">
        <f t="array" ref="G10">_xlfn.XLOOKUP(F10,Table2[Mercredi],Table2[[Début]:[Fin]],"")</f>
        <v/>
      </c>
      <c r="J10" s="2" t="str" cm="1">
        <f t="array" ref="J10">_xlfn.XLOOKUP(I10,Table2[Mercredi],Table2[[Début]:[Fin]],"")</f>
        <v/>
      </c>
    </row>
    <row r="11" spans="1:11" x14ac:dyDescent="0.4">
      <c r="A11" t="str">
        <v>Tessier</v>
      </c>
      <c r="B11" t="str">
        <v>Arsène</v>
      </c>
      <c r="D11" s="2" t="str" cm="1">
        <f t="array" ref="D11">_xlfn.XLOOKUP(C11,Table2[Mercredi],Table2[[Début]:[Fin]],"")</f>
        <v/>
      </c>
      <c r="G11" s="2" t="str" cm="1">
        <f t="array" ref="G11">_xlfn.XLOOKUP(F11,Table2[Mercredi],Table2[[Début]:[Fin]],"")</f>
        <v/>
      </c>
      <c r="J11" s="2" t="str" cm="1">
        <f t="array" ref="J11">_xlfn.XLOOKUP(I11,Table2[Mercredi],Table2[[Début]:[Fin]],"")</f>
        <v/>
      </c>
    </row>
    <row r="12" spans="1:11" x14ac:dyDescent="0.4">
      <c r="A12" t="str">
        <v>Uldry</v>
      </c>
      <c r="B12" t="str">
        <v>Arthur</v>
      </c>
      <c r="D12" s="2" t="str" cm="1">
        <f t="array" ref="D12">_xlfn.XLOOKUP(C12,Table2[Mercredi],Table2[[Début]:[Fin]],"")</f>
        <v/>
      </c>
      <c r="G12" s="2" t="str" cm="1">
        <f t="array" ref="G12">_xlfn.XLOOKUP(F12,Table2[Mercredi],Table2[[Début]:[Fin]],"")</f>
        <v/>
      </c>
      <c r="J12" s="2" t="str" cm="1">
        <f t="array" ref="J12">_xlfn.XLOOKUP(I12,Table2[Mercredi],Table2[[Début]:[Fin]],"")</f>
        <v/>
      </c>
    </row>
    <row r="13" spans="1:11" x14ac:dyDescent="0.4">
      <c r="A13" t="str">
        <v>Marchand</v>
      </c>
      <c r="B13" t="str">
        <v>Athénaé</v>
      </c>
      <c r="D13" s="2" t="str" cm="1">
        <f t="array" ref="D13">_xlfn.XLOOKUP(C13,Table2[Mercredi],Table2[[Début]:[Fin]],"")</f>
        <v/>
      </c>
      <c r="G13" s="2" t="str" cm="1">
        <f t="array" ref="G13">_xlfn.XLOOKUP(F13,Table2[Mercredi],Table2[[Début]:[Fin]],"")</f>
        <v/>
      </c>
      <c r="J13" s="2" t="str" cm="1">
        <f t="array" ref="J13">_xlfn.XLOOKUP(I13,Table2[Mercredi],Table2[[Début]:[Fin]],"")</f>
        <v/>
      </c>
    </row>
    <row r="14" spans="1:11" x14ac:dyDescent="0.4">
      <c r="A14" t="str">
        <v>Magerand</v>
      </c>
      <c r="B14" t="str">
        <v>Auxence</v>
      </c>
      <c r="D14" s="2" t="str" cm="1">
        <f t="array" ref="D14">_xlfn.XLOOKUP(C14,Table2[Mercredi],Table2[[Début]:[Fin]],"")</f>
        <v/>
      </c>
      <c r="G14" s="2" t="str" cm="1">
        <f t="array" ref="G14">_xlfn.XLOOKUP(F14,Table2[Mercredi],Table2[[Début]:[Fin]],"")</f>
        <v/>
      </c>
      <c r="J14" s="2" t="str" cm="1">
        <f t="array" ref="J14">_xlfn.XLOOKUP(I14,Table2[Mercredi],Table2[[Début]:[Fin]],"")</f>
        <v/>
      </c>
    </row>
    <row r="15" spans="1:11" x14ac:dyDescent="0.4">
      <c r="A15" t="str">
        <v>Baruch</v>
      </c>
      <c r="B15" t="str">
        <v>Ava</v>
      </c>
      <c r="D15" s="2" t="str" cm="1">
        <f t="array" ref="D15">_xlfn.XLOOKUP(C15,Table2[Mercredi],Table2[[Début]:[Fin]],"")</f>
        <v/>
      </c>
      <c r="G15" s="2" t="str" cm="1">
        <f t="array" ref="G15">_xlfn.XLOOKUP(F15,Table2[Mercredi],Table2[[Début]:[Fin]],"")</f>
        <v/>
      </c>
      <c r="J15" s="2" t="str" cm="1">
        <f t="array" ref="J15">_xlfn.XLOOKUP(I15,Table2[Mercredi],Table2[[Début]:[Fin]],"")</f>
        <v/>
      </c>
    </row>
    <row r="16" spans="1:11" x14ac:dyDescent="0.4">
      <c r="A16" t="str">
        <v>Detrain</v>
      </c>
      <c r="B16" t="str">
        <v>Benoît</v>
      </c>
      <c r="D16" s="2" t="str" cm="1">
        <f t="array" ref="D16">_xlfn.XLOOKUP(C16,Table2[Mercredi],Table2[[Début]:[Fin]],"")</f>
        <v/>
      </c>
      <c r="G16" s="2" t="str" cm="1">
        <f t="array" ref="G16">_xlfn.XLOOKUP(F16,Table2[Mercredi],Table2[[Début]:[Fin]],"")</f>
        <v/>
      </c>
      <c r="J16" s="2" t="str" cm="1">
        <f t="array" ref="J16">_xlfn.XLOOKUP(I16,Table2[Mercredi],Table2[[Début]:[Fin]],"")</f>
        <v/>
      </c>
    </row>
    <row r="17" spans="1:10" x14ac:dyDescent="0.4">
      <c r="A17" t="str">
        <v>Meige</v>
      </c>
      <c r="B17" t="str">
        <v>Corentin</v>
      </c>
      <c r="D17" s="2" t="str" cm="1">
        <f t="array" ref="D17">_xlfn.XLOOKUP(C17,Table2[Mercredi],Table2[[Début]:[Fin]],"")</f>
        <v/>
      </c>
      <c r="G17" s="2" t="str" cm="1">
        <f t="array" ref="G17">_xlfn.XLOOKUP(F17,Table2[Mercredi],Table2[[Début]:[Fin]],"")</f>
        <v/>
      </c>
      <c r="J17" s="2" t="str" cm="1">
        <f t="array" ref="J17">_xlfn.XLOOKUP(I17,Table2[Mercredi],Table2[[Début]:[Fin]],"")</f>
        <v/>
      </c>
    </row>
    <row r="18" spans="1:10" x14ac:dyDescent="0.4">
      <c r="A18" t="str">
        <v>De Filippo</v>
      </c>
      <c r="B18" t="str">
        <v>Emma</v>
      </c>
      <c r="D18" s="2" t="str" cm="1">
        <f t="array" ref="D18">_xlfn.XLOOKUP(C18,Table2[Mercredi],Table2[[Début]:[Fin]],"")</f>
        <v/>
      </c>
      <c r="G18" s="2" t="str" cm="1">
        <f t="array" ref="G18">_xlfn.XLOOKUP(F18,Table2[Mercredi],Table2[[Début]:[Fin]],"")</f>
        <v/>
      </c>
      <c r="J18" s="2" t="str" cm="1">
        <f t="array" ref="J18">_xlfn.XLOOKUP(I18,Table2[Mercredi],Table2[[Début]:[Fin]],"")</f>
        <v/>
      </c>
    </row>
    <row r="19" spans="1:10" x14ac:dyDescent="0.4">
      <c r="A19" t="str">
        <v>Prouvost</v>
      </c>
      <c r="B19" t="str">
        <v>Eugénie</v>
      </c>
      <c r="D19" s="2" t="str" cm="1">
        <f t="array" ref="D19">_xlfn.XLOOKUP(C19,Table2[Mercredi],Table2[[Début]:[Fin]],"")</f>
        <v/>
      </c>
      <c r="G19" s="2" t="str" cm="1">
        <f t="array" ref="G19">_xlfn.XLOOKUP(F19,Table2[Mercredi],Table2[[Début]:[Fin]],"")</f>
        <v/>
      </c>
      <c r="J19" s="2" t="str" cm="1">
        <f t="array" ref="J19">_xlfn.XLOOKUP(I19,Table2[Mercredi],Table2[[Début]:[Fin]],"")</f>
        <v/>
      </c>
    </row>
    <row r="20" spans="1:10" x14ac:dyDescent="0.4">
      <c r="A20" t="str">
        <v xml:space="preserve">Rakotonandrasana </v>
      </c>
      <c r="B20" t="str">
        <v>Iris</v>
      </c>
      <c r="D20" s="2" t="str" cm="1">
        <f t="array" ref="D20">_xlfn.XLOOKUP(C20,Table2[Mercredi],Table2[[Début]:[Fin]],"")</f>
        <v/>
      </c>
      <c r="G20" s="2" t="str" cm="1">
        <f t="array" ref="G20">_xlfn.XLOOKUP(F20,Table2[Mercredi],Table2[[Début]:[Fin]],"")</f>
        <v/>
      </c>
      <c r="J20" s="2" t="str" cm="1">
        <f t="array" ref="J20">_xlfn.XLOOKUP(I20,Table2[Mercredi],Table2[[Début]:[Fin]],"")</f>
        <v/>
      </c>
    </row>
    <row r="21" spans="1:10" x14ac:dyDescent="0.4">
      <c r="A21" t="str">
        <v>Bürgisser</v>
      </c>
      <c r="B21" t="str">
        <v>Jamilah</v>
      </c>
      <c r="D21" s="2" t="str" cm="1">
        <f t="array" ref="D21">_xlfn.XLOOKUP(C21,Table2[Mercredi],Table2[[Début]:[Fin]],"")</f>
        <v/>
      </c>
      <c r="G21" s="2" t="str" cm="1">
        <f t="array" ref="G21">_xlfn.XLOOKUP(F21,Table2[Mercredi],Table2[[Début]:[Fin]],"")</f>
        <v/>
      </c>
      <c r="J21" s="2" t="str" cm="1">
        <f t="array" ref="J21">_xlfn.XLOOKUP(I21,Table2[Mercredi],Table2[[Début]:[Fin]],"")</f>
        <v/>
      </c>
    </row>
    <row r="22" spans="1:10" x14ac:dyDescent="0.4">
      <c r="A22" t="str">
        <v>Ruscio</v>
      </c>
      <c r="B22" t="str">
        <v>Jolan</v>
      </c>
      <c r="D22" s="2" t="str" cm="1">
        <f t="array" ref="D22">_xlfn.XLOOKUP(C22,Table2[Mercredi],Table2[[Début]:[Fin]],"")</f>
        <v/>
      </c>
      <c r="G22" s="2" t="str" cm="1">
        <f t="array" ref="G22">_xlfn.XLOOKUP(F22,Table2[Mercredi],Table2[[Début]:[Fin]],"")</f>
        <v/>
      </c>
      <c r="J22" s="2" t="str" cm="1">
        <f t="array" ref="J22">_xlfn.XLOOKUP(I22,Table2[Mercredi],Table2[[Début]:[Fin]],"")</f>
        <v/>
      </c>
    </row>
    <row r="23" spans="1:10" x14ac:dyDescent="0.4">
      <c r="A23" t="str">
        <v>Wuilloud</v>
      </c>
      <c r="B23" t="str">
        <v xml:space="preserve">Jonas </v>
      </c>
      <c r="D23" s="2" t="str" cm="1">
        <f t="array" ref="D23">_xlfn.XLOOKUP(C23,Table2[Mercredi],Table2[[Début]:[Fin]],"")</f>
        <v/>
      </c>
      <c r="G23" s="2" t="str" cm="1">
        <f t="array" ref="G23">_xlfn.XLOOKUP(F23,Table2[Mercredi],Table2[[Début]:[Fin]],"")</f>
        <v/>
      </c>
      <c r="J23" s="2" t="str" cm="1">
        <f t="array" ref="J23">_xlfn.XLOOKUP(I23,Table2[Mercredi],Table2[[Début]:[Fin]],"")</f>
        <v/>
      </c>
    </row>
    <row r="24" spans="1:10" x14ac:dyDescent="0.4">
      <c r="A24" t="str">
        <v>Pirolley</v>
      </c>
      <c r="B24" t="str">
        <v>Jules</v>
      </c>
      <c r="D24" s="2" t="str" cm="1">
        <f t="array" ref="D24">_xlfn.XLOOKUP(C24,Table2[Mercredi],Table2[[Début]:[Fin]],"")</f>
        <v/>
      </c>
      <c r="G24" s="2" t="str" cm="1">
        <f t="array" ref="G24">_xlfn.XLOOKUP(F24,Table2[Mercredi],Table2[[Début]:[Fin]],"")</f>
        <v/>
      </c>
      <c r="J24" s="2" t="str" cm="1">
        <f t="array" ref="J24">_xlfn.XLOOKUP(I24,Table2[Mercredi],Table2[[Début]:[Fin]],"")</f>
        <v/>
      </c>
    </row>
    <row r="25" spans="1:10" x14ac:dyDescent="0.4">
      <c r="A25" t="str">
        <v>Chavaillaz</v>
      </c>
      <c r="B25" t="str">
        <v>Julie</v>
      </c>
      <c r="D25" s="2" t="str" cm="1">
        <f t="array" ref="D25">_xlfn.XLOOKUP(C25,Table2[Mercredi],Table2[[Début]:[Fin]],"")</f>
        <v/>
      </c>
      <c r="G25" s="2" t="str" cm="1">
        <f t="array" ref="G25">_xlfn.XLOOKUP(F25,Table2[Mercredi],Table2[[Début]:[Fin]],"")</f>
        <v/>
      </c>
      <c r="J25" s="2" t="str" cm="1">
        <f t="array" ref="J25">_xlfn.XLOOKUP(I25,Table2[Mercredi],Table2[[Début]:[Fin]],"")</f>
        <v/>
      </c>
    </row>
    <row r="26" spans="1:10" x14ac:dyDescent="0.4">
      <c r="A26" t="str">
        <v>Oeschger</v>
      </c>
      <c r="B26" t="str">
        <v>Kristel</v>
      </c>
      <c r="D26" s="2" t="str" cm="1">
        <f t="array" ref="D26">_xlfn.XLOOKUP(C26,Table2[Mercredi],Table2[[Début]:[Fin]],"")</f>
        <v/>
      </c>
      <c r="G26" s="2" t="str" cm="1">
        <f t="array" ref="G26">_xlfn.XLOOKUP(F26,Table2[Mercredi],Table2[[Début]:[Fin]],"")</f>
        <v/>
      </c>
      <c r="J26" s="2" t="str" cm="1">
        <f t="array" ref="J26">_xlfn.XLOOKUP(I26,Table2[Mercredi],Table2[[Début]:[Fin]],"")</f>
        <v/>
      </c>
    </row>
    <row r="27" spans="1:10" x14ac:dyDescent="0.4">
      <c r="A27" t="str">
        <v>Baltzinger</v>
      </c>
      <c r="B27" t="str">
        <v>Léa</v>
      </c>
      <c r="D27" s="2" t="str" cm="1">
        <f t="array" ref="D27">_xlfn.XLOOKUP(C27,Table2[Mercredi],Table2[[Début]:[Fin]],"")</f>
        <v/>
      </c>
      <c r="G27" s="2" t="str" cm="1">
        <f t="array" ref="G27">_xlfn.XLOOKUP(F27,Table2[Mercredi],Table2[[Début]:[Fin]],"")</f>
        <v/>
      </c>
      <c r="J27" s="2" t="str" cm="1">
        <f t="array" ref="J27">_xlfn.XLOOKUP(I27,Table2[Mercredi],Table2[[Début]:[Fin]],"")</f>
        <v/>
      </c>
    </row>
    <row r="28" spans="1:10" x14ac:dyDescent="0.4">
      <c r="A28" t="str">
        <v>Chambaz</v>
      </c>
      <c r="B28" t="str">
        <v>Léa</v>
      </c>
      <c r="D28" s="2" t="str" cm="1">
        <f t="array" ref="D28">_xlfn.XLOOKUP(C28,Table2[Mercredi],Table2[[Début]:[Fin]],"")</f>
        <v/>
      </c>
      <c r="G28" s="2" t="str" cm="1">
        <f t="array" ref="G28">_xlfn.XLOOKUP(F28,Table2[Mercredi],Table2[[Début]:[Fin]],"")</f>
        <v/>
      </c>
      <c r="J28" s="2" t="str" cm="1">
        <f t="array" ref="J28">_xlfn.XLOOKUP(I28,Table2[Mercredi],Table2[[Début]:[Fin]],"")</f>
        <v/>
      </c>
    </row>
    <row r="29" spans="1:10" x14ac:dyDescent="0.4">
      <c r="A29" t="str">
        <v>Jaquet</v>
      </c>
      <c r="B29" t="str">
        <v>Lisa</v>
      </c>
      <c r="D29" s="2" t="str" cm="1">
        <f t="array" ref="D29">_xlfn.XLOOKUP(C29,Table2[Mercredi],Table2[[Début]:[Fin]],"")</f>
        <v/>
      </c>
      <c r="G29" s="2" t="str" cm="1">
        <f t="array" ref="G29">_xlfn.XLOOKUP(F29,Table2[Mercredi],Table2[[Début]:[Fin]],"")</f>
        <v/>
      </c>
      <c r="J29" s="2" t="str" cm="1">
        <f t="array" ref="J29">_xlfn.XLOOKUP(I29,Table2[Mercredi],Table2[[Début]:[Fin]],"")</f>
        <v/>
      </c>
    </row>
    <row r="30" spans="1:10" x14ac:dyDescent="0.4">
      <c r="A30" t="str">
        <v>Magnin</v>
      </c>
      <c r="B30" t="str">
        <v>Lisa</v>
      </c>
      <c r="D30" s="2" t="str" cm="1">
        <f t="array" ref="D30">_xlfn.XLOOKUP(C30,Table2[Mercredi],Table2[[Début]:[Fin]],"")</f>
        <v/>
      </c>
      <c r="G30" s="2" t="str" cm="1">
        <f t="array" ref="G30">_xlfn.XLOOKUP(F30,Table2[Mercredi],Table2[[Début]:[Fin]],"")</f>
        <v/>
      </c>
      <c r="J30" s="2" t="str" cm="1">
        <f t="array" ref="J30">_xlfn.XLOOKUP(I30,Table2[Mercredi],Table2[[Début]:[Fin]],"")</f>
        <v/>
      </c>
    </row>
    <row r="31" spans="1:10" x14ac:dyDescent="0.4">
      <c r="A31" t="str">
        <v>Cardis</v>
      </c>
      <c r="B31" t="str">
        <v>Louis</v>
      </c>
      <c r="D31" s="2" t="str" cm="1">
        <f t="array" ref="D31">_xlfn.XLOOKUP(C31,Table2[Mercredi],Table2[[Début]:[Fin]],"")</f>
        <v/>
      </c>
      <c r="G31" s="2" t="str" cm="1">
        <f t="array" ref="G31">_xlfn.XLOOKUP(F31,Table2[Mercredi],Table2[[Début]:[Fin]],"")</f>
        <v/>
      </c>
      <c r="J31" s="2" t="str" cm="1">
        <f t="array" ref="J31">_xlfn.XLOOKUP(I31,Table2[Mercredi],Table2[[Début]:[Fin]],"")</f>
        <v/>
      </c>
    </row>
    <row r="32" spans="1:10" x14ac:dyDescent="0.4">
      <c r="A32" t="str">
        <v>Post</v>
      </c>
      <c r="B32" t="str">
        <v>Louis</v>
      </c>
      <c r="D32" s="2" t="str" cm="1">
        <f t="array" ref="D32">_xlfn.XLOOKUP(C32,Table2[Mercredi],Table2[[Début]:[Fin]],"")</f>
        <v/>
      </c>
      <c r="G32" s="2" t="str" cm="1">
        <f t="array" ref="G32">_xlfn.XLOOKUP(F32,Table2[Mercredi],Table2[[Début]:[Fin]],"")</f>
        <v/>
      </c>
      <c r="J32" s="2" t="str" cm="1">
        <f t="array" ref="J32">_xlfn.XLOOKUP(I32,Table2[Mercredi],Table2[[Début]:[Fin]],"")</f>
        <v/>
      </c>
    </row>
    <row r="33" spans="1:10" x14ac:dyDescent="0.4">
      <c r="A33" t="str">
        <v>Blanchard</v>
      </c>
      <c r="B33" t="str">
        <v>Louise</v>
      </c>
      <c r="D33" s="2" t="str" cm="1">
        <f t="array" ref="D33">_xlfn.XLOOKUP(C33,Table2[Mercredi],Table2[[Début]:[Fin]],"")</f>
        <v/>
      </c>
      <c r="G33" s="2" t="str" cm="1">
        <f t="array" ref="G33">_xlfn.XLOOKUP(F33,Table2[Mercredi],Table2[[Début]:[Fin]],"")</f>
        <v/>
      </c>
      <c r="J33" s="2" t="str" cm="1">
        <f t="array" ref="J33">_xlfn.XLOOKUP(I33,Table2[Mercredi],Table2[[Début]:[Fin]],"")</f>
        <v/>
      </c>
    </row>
    <row r="34" spans="1:10" x14ac:dyDescent="0.4">
      <c r="A34" t="str">
        <v>Chastroux</v>
      </c>
      <c r="B34" t="str">
        <v>Lucas</v>
      </c>
      <c r="D34" s="2" t="str" cm="1">
        <f t="array" ref="D34">_xlfn.XLOOKUP(C34,Table2[Mercredi],Table2[[Début]:[Fin]],"")</f>
        <v/>
      </c>
      <c r="G34" s="2" t="str" cm="1">
        <f t="array" ref="G34">_xlfn.XLOOKUP(F34,Table2[Mercredi],Table2[[Début]:[Fin]],"")</f>
        <v/>
      </c>
      <c r="J34" s="2" t="str" cm="1">
        <f t="array" ref="J34">_xlfn.XLOOKUP(I34,Table2[Mercredi],Table2[[Début]:[Fin]],"")</f>
        <v/>
      </c>
    </row>
    <row r="35" spans="1:10" x14ac:dyDescent="0.4">
      <c r="A35" t="str">
        <v>Meyer</v>
      </c>
      <c r="B35" t="str">
        <v>Lucie</v>
      </c>
      <c r="D35" s="2" t="str" cm="1">
        <f t="array" ref="D35">_xlfn.XLOOKUP(C35,Table2[Mercredi],Table2[[Début]:[Fin]],"")</f>
        <v/>
      </c>
      <c r="G35" s="2" t="str" cm="1">
        <f t="array" ref="G35">_xlfn.XLOOKUP(F35,Table2[Mercredi],Table2[[Début]:[Fin]],"")</f>
        <v/>
      </c>
      <c r="J35" s="2" t="str" cm="1">
        <f t="array" ref="J35">_xlfn.XLOOKUP(I35,Table2[Mercredi],Table2[[Début]:[Fin]],"")</f>
        <v/>
      </c>
    </row>
    <row r="36" spans="1:10" x14ac:dyDescent="0.4">
      <c r="A36" t="str">
        <v>Ménétrey</v>
      </c>
      <c r="B36" t="str">
        <v>Maëlan</v>
      </c>
      <c r="D36" s="2" t="str" cm="1">
        <f t="array" ref="D36">_xlfn.XLOOKUP(C36,Table2[Mercredi],Table2[[Début]:[Fin]],"")</f>
        <v/>
      </c>
      <c r="G36" s="2" t="str" cm="1">
        <f t="array" ref="G36">_xlfn.XLOOKUP(F36,Table2[Mercredi],Table2[[Début]:[Fin]],"")</f>
        <v/>
      </c>
      <c r="J36" s="2" t="str" cm="1">
        <f t="array" ref="J36">_xlfn.XLOOKUP(I36,Table2[Mercredi],Table2[[Début]:[Fin]],"")</f>
        <v/>
      </c>
    </row>
    <row r="37" spans="1:10" x14ac:dyDescent="0.4">
      <c r="A37" t="str">
        <v>Chambaz</v>
      </c>
      <c r="B37" t="str">
        <v>Maëlle</v>
      </c>
      <c r="D37" s="2" t="str" cm="1">
        <f t="array" ref="D37">_xlfn.XLOOKUP(C37,Table2[Mercredi],Table2[[Début]:[Fin]],"")</f>
        <v/>
      </c>
      <c r="G37" s="2" t="str" cm="1">
        <f t="array" ref="G37">_xlfn.XLOOKUP(F37,Table2[Mercredi],Table2[[Début]:[Fin]],"")</f>
        <v/>
      </c>
      <c r="J37" s="2" t="str" cm="1">
        <f t="array" ref="J37">_xlfn.XLOOKUP(I37,Table2[Mercredi],Table2[[Début]:[Fin]],"")</f>
        <v/>
      </c>
    </row>
    <row r="38" spans="1:10" x14ac:dyDescent="0.4">
      <c r="A38" t="str">
        <v>Felix</v>
      </c>
      <c r="B38" t="str">
        <v>Marius</v>
      </c>
      <c r="D38" s="2" t="str" cm="1">
        <f t="array" ref="D38">_xlfn.XLOOKUP(C38,Table2[Mercredi],Table2[[Début]:[Fin]],"")</f>
        <v/>
      </c>
      <c r="G38" s="2" t="str" cm="1">
        <f t="array" ref="G38">_xlfn.XLOOKUP(F38,Table2[Mercredi],Table2[[Début]:[Fin]],"")</f>
        <v/>
      </c>
      <c r="J38" s="2" t="str" cm="1">
        <f t="array" ref="J38">_xlfn.XLOOKUP(I38,Table2[Mercredi],Table2[[Début]:[Fin]],"")</f>
        <v/>
      </c>
    </row>
    <row r="39" spans="1:10" x14ac:dyDescent="0.4">
      <c r="A39" t="str">
        <v>Ledru</v>
      </c>
      <c r="B39" t="str">
        <v>Marot</v>
      </c>
      <c r="D39" s="2" t="str" cm="1">
        <f t="array" ref="D39">_xlfn.XLOOKUP(C39,Table2[Mercredi],Table2[[Début]:[Fin]],"")</f>
        <v/>
      </c>
      <c r="G39" s="2" t="str" cm="1">
        <f t="array" ref="G39">_xlfn.XLOOKUP(F39,Table2[Mercredi],Table2[[Début]:[Fin]],"")</f>
        <v/>
      </c>
      <c r="J39" s="2" t="str" cm="1">
        <f t="array" ref="J39">_xlfn.XLOOKUP(I39,Table2[Mercredi],Table2[[Début]:[Fin]],"")</f>
        <v/>
      </c>
    </row>
    <row r="40" spans="1:10" x14ac:dyDescent="0.4">
      <c r="A40" t="str">
        <v>Cuinet</v>
      </c>
      <c r="B40" t="str">
        <v>Mathis</v>
      </c>
      <c r="D40" s="2" t="str" cm="1">
        <f t="array" ref="D40">_xlfn.XLOOKUP(C40,Table2[Mercredi],Table2[[Début]:[Fin]],"")</f>
        <v/>
      </c>
      <c r="G40" s="2" t="str" cm="1">
        <f t="array" ref="G40">_xlfn.XLOOKUP(F40,Table2[Mercredi],Table2[[Début]:[Fin]],"")</f>
        <v/>
      </c>
      <c r="J40" s="2" t="str" cm="1">
        <f t="array" ref="J40">_xlfn.XLOOKUP(I40,Table2[Mercredi],Table2[[Début]:[Fin]],"")</f>
        <v/>
      </c>
    </row>
    <row r="41" spans="1:10" x14ac:dyDescent="0.4">
      <c r="A41" t="str">
        <v>Gavin</v>
      </c>
      <c r="B41" t="str">
        <v>Matteo</v>
      </c>
      <c r="D41" s="2" t="str" cm="1">
        <f t="array" ref="D41">_xlfn.XLOOKUP(C41,Table2[Mercredi],Table2[[Début]:[Fin]],"")</f>
        <v/>
      </c>
      <c r="G41" s="2" t="str" cm="1">
        <f t="array" ref="G41">_xlfn.XLOOKUP(F41,Table2[Mercredi],Table2[[Début]:[Fin]],"")</f>
        <v/>
      </c>
      <c r="J41" s="2" t="str" cm="1">
        <f t="array" ref="J41">_xlfn.XLOOKUP(I41,Table2[Mercredi],Table2[[Début]:[Fin]],"")</f>
        <v/>
      </c>
    </row>
    <row r="42" spans="1:10" x14ac:dyDescent="0.4">
      <c r="A42" t="str">
        <v>Debray</v>
      </c>
      <c r="B42" t="str">
        <v>Maxime</v>
      </c>
      <c r="D42" s="2" t="str" cm="1">
        <f t="array" ref="D42">_xlfn.XLOOKUP(C42,Table2[Mercredi],Table2[[Début]:[Fin]],"")</f>
        <v/>
      </c>
      <c r="G42" s="2" t="str" cm="1">
        <f t="array" ref="G42">_xlfn.XLOOKUP(F42,Table2[Mercredi],Table2[[Début]:[Fin]],"")</f>
        <v/>
      </c>
      <c r="J42" s="2" t="str" cm="1">
        <f t="array" ref="J42">_xlfn.XLOOKUP(I42,Table2[Mercredi],Table2[[Début]:[Fin]],"")</f>
        <v/>
      </c>
    </row>
    <row r="43" spans="1:10" x14ac:dyDescent="0.4">
      <c r="A43" t="str">
        <v>Corbelli</v>
      </c>
      <c r="B43" t="str">
        <v>Maya</v>
      </c>
      <c r="D43" s="2" t="str" cm="1">
        <f t="array" ref="D43">_xlfn.XLOOKUP(C43,Table2[Mercredi],Table2[[Début]:[Fin]],"")</f>
        <v/>
      </c>
      <c r="G43" s="2" t="str" cm="1">
        <f t="array" ref="G43">_xlfn.XLOOKUP(F43,Table2[Mercredi],Table2[[Début]:[Fin]],"")</f>
        <v/>
      </c>
      <c r="J43" s="2" t="str" cm="1">
        <f t="array" ref="J43">_xlfn.XLOOKUP(I43,Table2[Mercredi],Table2[[Début]:[Fin]],"")</f>
        <v/>
      </c>
    </row>
    <row r="44" spans="1:10" x14ac:dyDescent="0.4">
      <c r="A44" t="str">
        <v>Pasche</v>
      </c>
      <c r="B44" t="str">
        <v>Mickaël</v>
      </c>
      <c r="D44" s="2" t="str" cm="1">
        <f t="array" ref="D44">_xlfn.XLOOKUP(C44,Table2[Mercredi],Table2[[Début]:[Fin]],"")</f>
        <v/>
      </c>
      <c r="G44" s="2" t="str" cm="1">
        <f t="array" ref="G44">_xlfn.XLOOKUP(F44,Table2[Mercredi],Table2[[Début]:[Fin]],"")</f>
        <v/>
      </c>
      <c r="J44" s="2" t="str" cm="1">
        <f t="array" ref="J44">_xlfn.XLOOKUP(I44,Table2[Mercredi],Table2[[Début]:[Fin]],"")</f>
        <v/>
      </c>
    </row>
    <row r="45" spans="1:10" x14ac:dyDescent="0.4">
      <c r="A45" t="str">
        <v>Ménard</v>
      </c>
      <c r="B45" t="str">
        <v>Mireille</v>
      </c>
      <c r="D45" s="2" t="str" cm="1">
        <f t="array" ref="D45">_xlfn.XLOOKUP(C45,Table2[Mercredi],Table2[[Début]:[Fin]],"")</f>
        <v/>
      </c>
      <c r="G45" s="2" t="str" cm="1">
        <f t="array" ref="G45">_xlfn.XLOOKUP(F45,Table2[Mercredi],Table2[[Début]:[Fin]],"")</f>
        <v/>
      </c>
      <c r="J45" s="2" t="str" cm="1">
        <f t="array" ref="J45">_xlfn.XLOOKUP(I45,Table2[Mercredi],Table2[[Début]:[Fin]],"")</f>
        <v/>
      </c>
    </row>
    <row r="46" spans="1:10" x14ac:dyDescent="0.4">
      <c r="A46" t="str">
        <v>Fargues</v>
      </c>
      <c r="B46" t="str">
        <v>Morgana</v>
      </c>
      <c r="D46" s="2" t="str" cm="1">
        <f t="array" ref="D46">_xlfn.XLOOKUP(C46,Table2[Mercredi],Table2[[Début]:[Fin]],"")</f>
        <v/>
      </c>
      <c r="G46" s="2" t="str" cm="1">
        <f t="array" ref="G46">_xlfn.XLOOKUP(F46,Table2[Mercredi],Table2[[Début]:[Fin]],"")</f>
        <v/>
      </c>
      <c r="J46" s="2" t="str" cm="1">
        <f t="array" ref="J46">_xlfn.XLOOKUP(I46,Table2[Mercredi],Table2[[Début]:[Fin]],"")</f>
        <v/>
      </c>
    </row>
    <row r="47" spans="1:10" x14ac:dyDescent="0.4">
      <c r="A47" t="str">
        <v>Scyboz (Lambelet)</v>
      </c>
      <c r="B47" t="str">
        <v>Morgane</v>
      </c>
      <c r="D47" s="2" t="str" cm="1">
        <f t="array" ref="D47">_xlfn.XLOOKUP(C47,Table2[Mercredi],Table2[[Début]:[Fin]],"")</f>
        <v/>
      </c>
      <c r="G47" s="2" t="str" cm="1">
        <f t="array" ref="G47">_xlfn.XLOOKUP(F47,Table2[Mercredi],Table2[[Début]:[Fin]],"")</f>
        <v/>
      </c>
      <c r="J47" s="2" t="str" cm="1">
        <f t="array" ref="J47">_xlfn.XLOOKUP(I47,Table2[Mercredi],Table2[[Début]:[Fin]],"")</f>
        <v/>
      </c>
    </row>
    <row r="48" spans="1:10" x14ac:dyDescent="0.4">
      <c r="A48" t="str">
        <v>Koux</v>
      </c>
      <c r="B48" t="str">
        <v>Nathalia</v>
      </c>
      <c r="D48" s="2" t="str" cm="1">
        <f t="array" ref="D48">_xlfn.XLOOKUP(C48,Table2[Mercredi],Table2[[Début]:[Fin]],"")</f>
        <v/>
      </c>
      <c r="G48" s="2" t="str" cm="1">
        <f t="array" ref="G48">_xlfn.XLOOKUP(F48,Table2[Mercredi],Table2[[Début]:[Fin]],"")</f>
        <v/>
      </c>
      <c r="J48" s="2" t="str" cm="1">
        <f t="array" ref="J48">_xlfn.XLOOKUP(I48,Table2[Mercredi],Table2[[Début]:[Fin]],"")</f>
        <v/>
      </c>
    </row>
    <row r="49" spans="1:10" x14ac:dyDescent="0.4">
      <c r="A49" t="str">
        <v>Cherpillod</v>
      </c>
      <c r="B49" t="str">
        <v>Noah</v>
      </c>
      <c r="D49" s="2" t="str" cm="1">
        <f t="array" ref="D49">_xlfn.XLOOKUP(C49,Table2[Mercredi],Table2[[Début]:[Fin]],"")</f>
        <v/>
      </c>
      <c r="G49" s="2" t="str" cm="1">
        <f t="array" ref="G49">_xlfn.XLOOKUP(F49,Table2[Mercredi],Table2[[Début]:[Fin]],"")</f>
        <v/>
      </c>
      <c r="J49" s="2" t="str" cm="1">
        <f t="array" ref="J49">_xlfn.XLOOKUP(I49,Table2[Mercredi],Table2[[Début]:[Fin]],"")</f>
        <v/>
      </c>
    </row>
    <row r="50" spans="1:10" x14ac:dyDescent="0.4">
      <c r="A50" t="str">
        <v>Chambaz</v>
      </c>
      <c r="B50" t="str">
        <v>Patrick</v>
      </c>
      <c r="D50" s="2" t="str" cm="1">
        <f t="array" ref="D50">_xlfn.XLOOKUP(C50,Table2[Mercredi],Table2[[Début]:[Fin]],"")</f>
        <v/>
      </c>
      <c r="G50" s="2" t="str" cm="1">
        <f t="array" ref="G50">_xlfn.XLOOKUP(F50,Table2[Mercredi],Table2[[Début]:[Fin]],"")</f>
        <v/>
      </c>
      <c r="J50" s="2" t="str" cm="1">
        <f t="array" ref="J50">_xlfn.XLOOKUP(I50,Table2[Mercredi],Table2[[Début]:[Fin]],"")</f>
        <v/>
      </c>
    </row>
    <row r="51" spans="1:10" x14ac:dyDescent="0.4">
      <c r="A51" t="str">
        <v>Assaoui</v>
      </c>
      <c r="B51" t="str">
        <v>Rama</v>
      </c>
      <c r="D51" s="2" t="str" cm="1">
        <f t="array" ref="D51">_xlfn.XLOOKUP(C51,Table2[Mercredi],Table2[[Début]:[Fin]],"")</f>
        <v/>
      </c>
      <c r="G51" s="2" t="str" cm="1">
        <f t="array" ref="G51">_xlfn.XLOOKUP(F51,Table2[Mercredi],Table2[[Début]:[Fin]],"")</f>
        <v/>
      </c>
      <c r="J51" s="2" t="str" cm="1">
        <f t="array" ref="J51">_xlfn.XLOOKUP(I51,Table2[Mercredi],Table2[[Début]:[Fin]],"")</f>
        <v/>
      </c>
    </row>
    <row r="52" spans="1:10" x14ac:dyDescent="0.4">
      <c r="A52" t="str">
        <v>Lacroze</v>
      </c>
      <c r="B52" t="str">
        <v>Raphaël</v>
      </c>
      <c r="D52" s="2" t="str" cm="1">
        <f t="array" ref="D52">_xlfn.XLOOKUP(C52,Table2[Mercredi],Table2[[Début]:[Fin]],"")</f>
        <v/>
      </c>
      <c r="G52" s="2" t="str" cm="1">
        <f t="array" ref="G52">_xlfn.XLOOKUP(F52,Table2[Mercredi],Table2[[Début]:[Fin]],"")</f>
        <v/>
      </c>
      <c r="J52" s="2" t="str" cm="1">
        <f t="array" ref="J52">_xlfn.XLOOKUP(I52,Table2[Mercredi],Table2[[Début]:[Fin]],"")</f>
        <v/>
      </c>
    </row>
    <row r="53" spans="1:10" x14ac:dyDescent="0.4">
      <c r="A53" t="str">
        <v>Neidhart</v>
      </c>
      <c r="B53" t="str">
        <v>Raphaëlle</v>
      </c>
      <c r="D53" s="2" t="str" cm="1">
        <f t="array" ref="D53">_xlfn.XLOOKUP(C53,Table2[Mercredi],Table2[[Début]:[Fin]],"")</f>
        <v/>
      </c>
      <c r="G53" s="2" t="str" cm="1">
        <f t="array" ref="G53">_xlfn.XLOOKUP(F53,Table2[Mercredi],Table2[[Début]:[Fin]],"")</f>
        <v/>
      </c>
      <c r="J53" s="2" t="str" cm="1">
        <f t="array" ref="J53">_xlfn.XLOOKUP(I53,Table2[Mercredi],Table2[[Début]:[Fin]],"")</f>
        <v/>
      </c>
    </row>
    <row r="54" spans="1:10" x14ac:dyDescent="0.4">
      <c r="A54" t="str">
        <v xml:space="preserve">Lanni </v>
      </c>
      <c r="B54" t="str">
        <v>Roxanne</v>
      </c>
      <c r="D54" s="2" t="str" cm="1">
        <f t="array" ref="D54">_xlfn.XLOOKUP(C54,Table2[Mercredi],Table2[[Début]:[Fin]],"")</f>
        <v/>
      </c>
      <c r="G54" s="2" t="str" cm="1">
        <f t="array" ref="G54">_xlfn.XLOOKUP(F54,Table2[Mercredi],Table2[[Début]:[Fin]],"")</f>
        <v/>
      </c>
      <c r="J54" s="2" t="str" cm="1">
        <f t="array" ref="J54">_xlfn.XLOOKUP(I54,Table2[Mercredi],Table2[[Début]:[Fin]],"")</f>
        <v/>
      </c>
    </row>
    <row r="55" spans="1:10" x14ac:dyDescent="0.4">
      <c r="A55" t="str">
        <v>Schiesser</v>
      </c>
      <c r="B55" t="str">
        <v>Sébastien</v>
      </c>
      <c r="D55" s="2" t="str" cm="1">
        <f t="array" ref="D55">_xlfn.XLOOKUP(C55,Table2[Mercredi],Table2[[Début]:[Fin]],"")</f>
        <v/>
      </c>
      <c r="G55" s="2" t="str" cm="1">
        <f t="array" ref="G55">_xlfn.XLOOKUP(F55,Table2[Mercredi],Table2[[Début]:[Fin]],"")</f>
        <v/>
      </c>
      <c r="J55" s="2" t="str" cm="1">
        <f t="array" ref="J55">_xlfn.XLOOKUP(I55,Table2[Mercredi],Table2[[Début]:[Fin]],"")</f>
        <v/>
      </c>
    </row>
    <row r="56" spans="1:10" x14ac:dyDescent="0.4">
      <c r="A56" t="str">
        <v>Lambelet</v>
      </c>
      <c r="B56" t="str">
        <v>Simon</v>
      </c>
      <c r="D56" s="2" t="str" cm="1">
        <f t="array" ref="D56">_xlfn.XLOOKUP(C56,Table2[Mercredi],Table2[[Début]:[Fin]],"")</f>
        <v/>
      </c>
      <c r="G56" s="2" t="str" cm="1">
        <f t="array" ref="G56">_xlfn.XLOOKUP(F56,Table2[Mercredi],Table2[[Début]:[Fin]],"")</f>
        <v/>
      </c>
      <c r="J56" s="2" t="str" cm="1">
        <f t="array" ref="J56">_xlfn.XLOOKUP(I56,Table2[Mercredi],Table2[[Début]:[Fin]],"")</f>
        <v/>
      </c>
    </row>
    <row r="57" spans="1:10" x14ac:dyDescent="0.4">
      <c r="A57" t="str">
        <v>Cyprien</v>
      </c>
      <c r="B57" t="str">
        <v>Theo</v>
      </c>
      <c r="D57" s="2" t="str" cm="1">
        <f t="array" ref="D57">_xlfn.XLOOKUP(C57,Table2[Mercredi],Table2[[Début]:[Fin]],"")</f>
        <v/>
      </c>
      <c r="G57" s="2" t="str" cm="1">
        <f t="array" ref="G57">_xlfn.XLOOKUP(F57,Table2[Mercredi],Table2[[Début]:[Fin]],"")</f>
        <v/>
      </c>
      <c r="J57" s="2" t="str" cm="1">
        <f t="array" ref="J57">_xlfn.XLOOKUP(I57,Table2[Mercredi],Table2[[Début]:[Fin]],"")</f>
        <v/>
      </c>
    </row>
    <row r="58" spans="1:10" x14ac:dyDescent="0.4">
      <c r="A58" t="str">
        <v>Clerici</v>
      </c>
      <c r="B58" t="str">
        <v>Thibault</v>
      </c>
      <c r="D58" s="2" t="str" cm="1">
        <f t="array" ref="D58">_xlfn.XLOOKUP(C58,Table2[Mercredi],Table2[[Début]:[Fin]],"")</f>
        <v/>
      </c>
      <c r="G58" s="2" t="str" cm="1">
        <f t="array" ref="G58">_xlfn.XLOOKUP(F58,Table2[Mercredi],Table2[[Début]:[Fin]],"")</f>
        <v/>
      </c>
      <c r="J58" s="2" t="str" cm="1">
        <f t="array" ref="J58">_xlfn.XLOOKUP(I58,Table2[Mercredi],Table2[[Début]:[Fin]],"")</f>
        <v/>
      </c>
    </row>
    <row r="59" spans="1:10" x14ac:dyDescent="0.4">
      <c r="A59" t="str">
        <v>Lagier</v>
      </c>
      <c r="B59" t="str">
        <v>Tician</v>
      </c>
      <c r="D59" s="2" t="str" cm="1">
        <f t="array" ref="D59">_xlfn.XLOOKUP(C59,Table2[Mercredi],Table2[[Début]:[Fin]],"")</f>
        <v/>
      </c>
      <c r="G59" s="2" t="str" cm="1">
        <f t="array" ref="G59">_xlfn.XLOOKUP(F59,Table2[Mercredi],Table2[[Début]:[Fin]],"")</f>
        <v/>
      </c>
      <c r="J59" s="2" t="str" cm="1">
        <f t="array" ref="J59">_xlfn.XLOOKUP(I59,Table2[Mercredi],Table2[[Début]:[Fin]],"")</f>
        <v/>
      </c>
    </row>
    <row r="60" spans="1:10" x14ac:dyDescent="0.4">
      <c r="A60" t="str">
        <v>Ménétrey</v>
      </c>
      <c r="B60" t="str">
        <v>Titouan</v>
      </c>
      <c r="D60" s="2" t="str" cm="1">
        <f t="array" ref="D60">_xlfn.XLOOKUP(C60,Table2[Mercredi],Table2[[Début]:[Fin]],"")</f>
        <v/>
      </c>
      <c r="G60" s="2" t="str" cm="1">
        <f t="array" ref="G60">_xlfn.XLOOKUP(F60,Table2[Mercredi],Table2[[Début]:[Fin]],"")</f>
        <v/>
      </c>
      <c r="J60" s="2" t="str" cm="1">
        <f t="array" ref="J60">_xlfn.XLOOKUP(I60,Table2[Mercredi],Table2[[Début]:[Fin]],"")</f>
        <v/>
      </c>
    </row>
    <row r="61" spans="1:10" x14ac:dyDescent="0.4">
      <c r="A61" t="str">
        <v>Clerici</v>
      </c>
      <c r="B61" t="str">
        <v>Tristan</v>
      </c>
      <c r="D61" s="2" t="str" cm="1">
        <f t="array" ref="D61">_xlfn.XLOOKUP(C61,Table2[Mercredi],Table2[[Début]:[Fin]],"")</f>
        <v/>
      </c>
      <c r="G61" s="2" t="str" cm="1">
        <f t="array" ref="G61">_xlfn.XLOOKUP(F61,Table2[Mercredi],Table2[[Début]:[Fin]],"")</f>
        <v/>
      </c>
      <c r="J61" s="2" t="str" cm="1">
        <f t="array" ref="J61">_xlfn.XLOOKUP(I61,Table2[Mercredi],Table2[[Début]:[Fin]],"")</f>
        <v/>
      </c>
    </row>
    <row r="62" spans="1:10" x14ac:dyDescent="0.4">
      <c r="A62" t="str">
        <v>Bally</v>
      </c>
      <c r="B62" t="str">
        <v>Yann</v>
      </c>
      <c r="D62" s="2" t="str" cm="1">
        <f t="array" ref="D62">_xlfn.XLOOKUP(C62,Table2[Mercredi],Table2[[Début]:[Fin]],"")</f>
        <v/>
      </c>
      <c r="G62" s="2" t="str" cm="1">
        <f t="array" ref="G62">_xlfn.XLOOKUP(F62,Table2[Mercredi],Table2[[Début]:[Fin]],"")</f>
        <v/>
      </c>
      <c r="J62" s="2" t="str" cm="1">
        <f t="array" ref="J62">_xlfn.XLOOKUP(I62,Table2[Mercredi],Table2[[Début]:[Fin]],"")</f>
        <v/>
      </c>
    </row>
    <row r="63" spans="1:10" x14ac:dyDescent="0.4">
      <c r="A63" t="str">
        <v>Ménétrey</v>
      </c>
      <c r="B63" t="str">
        <v>Ysatis</v>
      </c>
      <c r="D63" s="2" t="str" cm="1">
        <f t="array" ref="D63">_xlfn.XLOOKUP(C63,Table2[Mercredi],Table2[[Début]:[Fin]],"")</f>
        <v/>
      </c>
      <c r="G63" s="2" t="str" cm="1">
        <f t="array" ref="G63">_xlfn.XLOOKUP(F63,Table2[Mercredi],Table2[[Début]:[Fin]],"")</f>
        <v/>
      </c>
      <c r="J63" s="2" t="str" cm="1">
        <f t="array" ref="J63">_xlfn.XLOOKUP(I63,Table2[Mercredi],Table2[[Début]:[Fin]],"")</f>
        <v/>
      </c>
    </row>
  </sheetData>
  <protectedRanges>
    <protectedRange sqref="F1:F1048576 I1:I1048576" name="Concerts2"/>
    <protectedRange sqref="C1:C1048576" name="Concerts1"/>
  </protectedRanges>
  <conditionalFormatting sqref="A2:XFD65">
    <cfRule type="expression" dxfId="5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1EF265-5902-43C7-85C8-C5547281C515}">
          <x14:formula1>
            <xm:f>Concerts!$D$2:$D$18</xm:f>
          </x14:formula1>
          <xm:sqref>C2:C63 F2:F63 I2:I63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E2BF-703C-4C3A-ACA3-C1A852CBD80C}">
  <sheetPr codeName="Sheet3">
    <tabColor theme="6" tint="0.59999389629810485"/>
  </sheetPr>
  <dimension ref="A1:K63"/>
  <sheetViews>
    <sheetView workbookViewId="0">
      <selection activeCell="H11" sqref="H11"/>
    </sheetView>
  </sheetViews>
  <sheetFormatPr defaultRowHeight="14.6" x14ac:dyDescent="0.4"/>
  <cols>
    <col min="1" max="2" width="13.765625" customWidth="1"/>
    <col min="3" max="3" width="11.53515625" customWidth="1"/>
    <col min="4" max="5" width="8.765625" style="2" customWidth="1"/>
    <col min="6" max="6" width="11.53515625" customWidth="1"/>
    <col min="7" max="8" width="8.765625" style="2" customWidth="1"/>
    <col min="9" max="9" width="11.53515625" customWidth="1"/>
    <col min="10" max="11" width="8.765625" style="2" customWidth="1"/>
    <col min="12" max="12" width="2.84375" customWidth="1"/>
  </cols>
  <sheetData>
    <row r="1" spans="1:11" s="8" customFormat="1" x14ac:dyDescent="0.4">
      <c r="A1" s="8" t="s">
        <v>0</v>
      </c>
      <c r="B1" s="8" t="s">
        <v>1</v>
      </c>
      <c r="C1" s="8" t="s">
        <v>4</v>
      </c>
      <c r="D1" s="9" t="s">
        <v>2</v>
      </c>
      <c r="E1" s="9" t="s">
        <v>3</v>
      </c>
      <c r="F1" s="8" t="s">
        <v>5</v>
      </c>
      <c r="G1" s="9" t="s">
        <v>2</v>
      </c>
      <c r="H1" s="9" t="s">
        <v>3</v>
      </c>
      <c r="I1" s="8" t="s">
        <v>116</v>
      </c>
      <c r="J1" s="9" t="s">
        <v>2</v>
      </c>
      <c r="K1" s="9" t="s">
        <v>3</v>
      </c>
    </row>
    <row r="2" spans="1:11" x14ac:dyDescent="0.4">
      <c r="A2" t="str" cm="1">
        <f t="array" ref="A2:B63">_xlfn._xlws.FILTER('[1]Bénévoles 2026 V2'!$E:$F,'[1]Bénévoles 2026 V2'!$B:$B=TRUE)</f>
        <v>Bouvet</v>
      </c>
      <c r="B2" t="str">
        <v>Agathe</v>
      </c>
      <c r="D2" s="2" t="str" cm="1">
        <f t="array" ref="D2">_xlfn.XLOOKUP(C2,Table3[Jeudi],Table3[[Début]:[Fin]],"")</f>
        <v/>
      </c>
      <c r="G2" s="2" t="str" cm="1">
        <f t="array" ref="G2">_xlfn.XLOOKUP(F2,Table3[Jeudi],Table3[[Début]:[Fin]],"")</f>
        <v/>
      </c>
      <c r="J2" s="2" t="str" cm="1">
        <f t="array" ref="J2">_xlfn.XLOOKUP(I2,Table3[Jeudi],Table3[[Début]:[Fin]],"")</f>
        <v/>
      </c>
    </row>
    <row r="3" spans="1:11" x14ac:dyDescent="0.4">
      <c r="A3" t="str">
        <v>Bulka</v>
      </c>
      <c r="B3" t="str">
        <v>Alegria Lily</v>
      </c>
      <c r="D3" s="2" t="str" cm="1">
        <f t="array" ref="D3">_xlfn.XLOOKUP(C3,Table3[Jeudi],Table3[[Début]:[Fin]],"")</f>
        <v/>
      </c>
      <c r="G3" s="2" t="str" cm="1">
        <f t="array" ref="G3">_xlfn.XLOOKUP(F3,Table3[Jeudi],Table3[[Début]:[Fin]],"")</f>
        <v/>
      </c>
      <c r="J3" s="2" t="str" cm="1">
        <f t="array" ref="J3">_xlfn.XLOOKUP(I3,Table3[Jeudi],Table3[[Début]:[Fin]],"")</f>
        <v/>
      </c>
    </row>
    <row r="4" spans="1:11" x14ac:dyDescent="0.4">
      <c r="A4" t="str">
        <v>Bastian</v>
      </c>
      <c r="B4" t="str">
        <v>Alexandra</v>
      </c>
      <c r="D4" s="2" t="str" cm="1">
        <f t="array" ref="D4">_xlfn.XLOOKUP(C4,Table3[Jeudi],Table3[[Début]:[Fin]],"")</f>
        <v/>
      </c>
      <c r="G4" s="2" t="str" cm="1">
        <f t="array" ref="G4">_xlfn.XLOOKUP(F4,Table3[Jeudi],Table3[[Début]:[Fin]],"")</f>
        <v/>
      </c>
      <c r="J4" s="2" t="str" cm="1">
        <f t="array" ref="J4">_xlfn.XLOOKUP(I4,Table3[Jeudi],Table3[[Début]:[Fin]],"")</f>
        <v/>
      </c>
    </row>
    <row r="5" spans="1:11" x14ac:dyDescent="0.4">
      <c r="A5" t="str">
        <v>L'Horset</v>
      </c>
      <c r="B5" t="str">
        <v>Alice</v>
      </c>
      <c r="D5" s="2" t="str" cm="1">
        <f t="array" ref="D5">_xlfn.XLOOKUP(C5,Table3[Jeudi],Table3[[Début]:[Fin]],"")</f>
        <v/>
      </c>
      <c r="G5" s="2" t="str" cm="1">
        <f t="array" ref="G5">_xlfn.XLOOKUP(F5,Table3[Jeudi],Table3[[Début]:[Fin]],"")</f>
        <v/>
      </c>
      <c r="J5" s="2" t="str" cm="1">
        <f t="array" ref="J5">_xlfn.XLOOKUP(I5,Table3[Jeudi],Table3[[Début]:[Fin]],"")</f>
        <v/>
      </c>
    </row>
    <row r="6" spans="1:11" x14ac:dyDescent="0.4">
      <c r="A6" t="str">
        <v>Ledru</v>
      </c>
      <c r="B6" t="str">
        <v>Ana-Lou</v>
      </c>
      <c r="D6" s="2" t="str" cm="1">
        <f t="array" ref="D6">_xlfn.XLOOKUP(C6,Table3[Jeudi],Table3[[Début]:[Fin]],"")</f>
        <v/>
      </c>
      <c r="G6" s="2" t="str" cm="1">
        <f t="array" ref="G6">_xlfn.XLOOKUP(F6,Table3[Jeudi],Table3[[Début]:[Fin]],"")</f>
        <v/>
      </c>
      <c r="J6" s="2" t="str" cm="1">
        <f t="array" ref="J6">_xlfn.XLOOKUP(I6,Table3[Jeudi],Table3[[Début]:[Fin]],"")</f>
        <v/>
      </c>
    </row>
    <row r="7" spans="1:11" x14ac:dyDescent="0.4">
      <c r="A7" t="str">
        <v>Pero</v>
      </c>
      <c r="B7" t="str">
        <v>Andy</v>
      </c>
      <c r="D7" s="2" t="str" cm="1">
        <f t="array" ref="D7">_xlfn.XLOOKUP(C7,Table3[Jeudi],Table3[[Début]:[Fin]],"")</f>
        <v/>
      </c>
      <c r="G7" s="2" t="str" cm="1">
        <f t="array" ref="G7">_xlfn.XLOOKUP(F7,Table3[Jeudi],Table3[[Début]:[Fin]],"")</f>
        <v/>
      </c>
      <c r="J7" s="2" t="str" cm="1">
        <f t="array" ref="J7">_xlfn.XLOOKUP(I7,Table3[Jeudi],Table3[[Début]:[Fin]],"")</f>
        <v/>
      </c>
    </row>
    <row r="8" spans="1:11" x14ac:dyDescent="0.4">
      <c r="A8" t="str">
        <v>Mallet</v>
      </c>
      <c r="B8" t="str">
        <v>Anna</v>
      </c>
      <c r="D8" s="2" t="str" cm="1">
        <f t="array" ref="D8">_xlfn.XLOOKUP(C8,Table3[Jeudi],Table3[[Début]:[Fin]],"")</f>
        <v/>
      </c>
      <c r="G8" s="2" t="str" cm="1">
        <f t="array" ref="G8">_xlfn.XLOOKUP(F8,Table3[Jeudi],Table3[[Début]:[Fin]],"")</f>
        <v/>
      </c>
      <c r="J8" s="2" t="str" cm="1">
        <f t="array" ref="J8">_xlfn.XLOOKUP(I8,Table3[Jeudi],Table3[[Début]:[Fin]],"")</f>
        <v/>
      </c>
    </row>
    <row r="9" spans="1:11" x14ac:dyDescent="0.4">
      <c r="A9" t="str">
        <v>Malric</v>
      </c>
      <c r="B9" t="str">
        <v>Annouk</v>
      </c>
      <c r="D9" s="2" t="str" cm="1">
        <f t="array" ref="D9">_xlfn.XLOOKUP(C9,Table3[Jeudi],Table3[[Début]:[Fin]],"")</f>
        <v/>
      </c>
      <c r="G9" s="2" t="str" cm="1">
        <f t="array" ref="G9">_xlfn.XLOOKUP(F9,Table3[Jeudi],Table3[[Début]:[Fin]],"")</f>
        <v/>
      </c>
      <c r="J9" s="2" t="str" cm="1">
        <f t="array" ref="J9">_xlfn.XLOOKUP(I9,Table3[Jeudi],Table3[[Début]:[Fin]],"")</f>
        <v/>
      </c>
    </row>
    <row r="10" spans="1:11" x14ac:dyDescent="0.4">
      <c r="A10" t="str">
        <v>Noël</v>
      </c>
      <c r="B10" t="str">
        <v>Antonin</v>
      </c>
      <c r="D10" s="2" t="str" cm="1">
        <f t="array" ref="D10">_xlfn.XLOOKUP(C10,Table3[Jeudi],Table3[[Début]:[Fin]],"")</f>
        <v/>
      </c>
      <c r="G10" s="2" t="str" cm="1">
        <f t="array" ref="G10">_xlfn.XLOOKUP(F10,Table3[Jeudi],Table3[[Début]:[Fin]],"")</f>
        <v/>
      </c>
      <c r="J10" s="2" t="str" cm="1">
        <f t="array" ref="J10">_xlfn.XLOOKUP(I10,Table3[Jeudi],Table3[[Début]:[Fin]],"")</f>
        <v/>
      </c>
    </row>
    <row r="11" spans="1:11" x14ac:dyDescent="0.4">
      <c r="A11" t="str">
        <v>Tessier</v>
      </c>
      <c r="B11" t="str">
        <v>Arsène</v>
      </c>
      <c r="D11" s="2" t="str" cm="1">
        <f t="array" ref="D11">_xlfn.XLOOKUP(C11,Table3[Jeudi],Table3[[Début]:[Fin]],"")</f>
        <v/>
      </c>
      <c r="G11" s="2" t="str" cm="1">
        <f t="array" ref="G11">_xlfn.XLOOKUP(F11,Table3[Jeudi],Table3[[Début]:[Fin]],"")</f>
        <v/>
      </c>
      <c r="J11" s="2" t="str" cm="1">
        <f t="array" ref="J11">_xlfn.XLOOKUP(I11,Table3[Jeudi],Table3[[Début]:[Fin]],"")</f>
        <v/>
      </c>
    </row>
    <row r="12" spans="1:11" x14ac:dyDescent="0.4">
      <c r="A12" t="str">
        <v>Uldry</v>
      </c>
      <c r="B12" t="str">
        <v>Arthur</v>
      </c>
      <c r="D12" s="2" t="str" cm="1">
        <f t="array" ref="D12">_xlfn.XLOOKUP(C12,Table3[Jeudi],Table3[[Début]:[Fin]],"")</f>
        <v/>
      </c>
      <c r="G12" s="2" t="str" cm="1">
        <f t="array" ref="G12">_xlfn.XLOOKUP(F12,Table3[Jeudi],Table3[[Début]:[Fin]],"")</f>
        <v/>
      </c>
      <c r="J12" s="2" t="str" cm="1">
        <f t="array" ref="J12">_xlfn.XLOOKUP(I12,Table3[Jeudi],Table3[[Début]:[Fin]],"")</f>
        <v/>
      </c>
    </row>
    <row r="13" spans="1:11" x14ac:dyDescent="0.4">
      <c r="A13" t="str">
        <v>Marchand</v>
      </c>
      <c r="B13" t="str">
        <v>Athénaé</v>
      </c>
      <c r="D13" s="2" t="str" cm="1">
        <f t="array" ref="D13">_xlfn.XLOOKUP(C13,Table3[Jeudi],Table3[[Début]:[Fin]],"")</f>
        <v/>
      </c>
      <c r="G13" s="2" t="str" cm="1">
        <f t="array" ref="G13">_xlfn.XLOOKUP(F13,Table3[Jeudi],Table3[[Début]:[Fin]],"")</f>
        <v/>
      </c>
      <c r="J13" s="2" t="str" cm="1">
        <f t="array" ref="J13">_xlfn.XLOOKUP(I13,Table3[Jeudi],Table3[[Début]:[Fin]],"")</f>
        <v/>
      </c>
    </row>
    <row r="14" spans="1:11" x14ac:dyDescent="0.4">
      <c r="A14" t="str">
        <v>Magerand</v>
      </c>
      <c r="B14" t="str">
        <v>Auxence</v>
      </c>
      <c r="D14" s="2" t="str" cm="1">
        <f t="array" ref="D14">_xlfn.XLOOKUP(C14,Table3[Jeudi],Table3[[Début]:[Fin]],"")</f>
        <v/>
      </c>
      <c r="G14" s="2" t="str" cm="1">
        <f t="array" ref="G14">_xlfn.XLOOKUP(F14,Table3[Jeudi],Table3[[Début]:[Fin]],"")</f>
        <v/>
      </c>
      <c r="J14" s="2" t="str" cm="1">
        <f t="array" ref="J14">_xlfn.XLOOKUP(I14,Table3[Jeudi],Table3[[Début]:[Fin]],"")</f>
        <v/>
      </c>
    </row>
    <row r="15" spans="1:11" x14ac:dyDescent="0.4">
      <c r="A15" t="str">
        <v>Baruch</v>
      </c>
      <c r="B15" t="str">
        <v>Ava</v>
      </c>
      <c r="D15" s="2" t="str" cm="1">
        <f t="array" ref="D15">_xlfn.XLOOKUP(C15,Table3[Jeudi],Table3[[Début]:[Fin]],"")</f>
        <v/>
      </c>
      <c r="G15" s="2" t="str" cm="1">
        <f t="array" ref="G15">_xlfn.XLOOKUP(F15,Table3[Jeudi],Table3[[Début]:[Fin]],"")</f>
        <v/>
      </c>
      <c r="J15" s="2" t="str" cm="1">
        <f t="array" ref="J15">_xlfn.XLOOKUP(I15,Table3[Jeudi],Table3[[Début]:[Fin]],"")</f>
        <v/>
      </c>
    </row>
    <row r="16" spans="1:11" x14ac:dyDescent="0.4">
      <c r="A16" t="str">
        <v>Detrain</v>
      </c>
      <c r="B16" t="str">
        <v>Benoît</v>
      </c>
      <c r="D16" s="2" t="str" cm="1">
        <f t="array" ref="D16">_xlfn.XLOOKUP(C16,Table3[Jeudi],Table3[[Début]:[Fin]],"")</f>
        <v/>
      </c>
      <c r="G16" s="2" t="str" cm="1">
        <f t="array" ref="G16">_xlfn.XLOOKUP(F16,Table3[Jeudi],Table3[[Début]:[Fin]],"")</f>
        <v/>
      </c>
      <c r="J16" s="2" t="str" cm="1">
        <f t="array" ref="J16">_xlfn.XLOOKUP(I16,Table3[Jeudi],Table3[[Début]:[Fin]],"")</f>
        <v/>
      </c>
    </row>
    <row r="17" spans="1:10" x14ac:dyDescent="0.4">
      <c r="A17" t="str">
        <v>Meige</v>
      </c>
      <c r="B17" t="str">
        <v>Corentin</v>
      </c>
      <c r="D17" s="2" t="str" cm="1">
        <f t="array" ref="D17">_xlfn.XLOOKUP(C17,Table3[Jeudi],Table3[[Début]:[Fin]],"")</f>
        <v/>
      </c>
      <c r="G17" s="2" t="str" cm="1">
        <f t="array" ref="G17">_xlfn.XLOOKUP(F17,Table3[Jeudi],Table3[[Début]:[Fin]],"")</f>
        <v/>
      </c>
      <c r="J17" s="2" t="str" cm="1">
        <f t="array" ref="J17">_xlfn.XLOOKUP(I17,Table3[Jeudi],Table3[[Début]:[Fin]],"")</f>
        <v/>
      </c>
    </row>
    <row r="18" spans="1:10" x14ac:dyDescent="0.4">
      <c r="A18" t="str">
        <v>De Filippo</v>
      </c>
      <c r="B18" t="str">
        <v>Emma</v>
      </c>
      <c r="D18" s="2" t="str" cm="1">
        <f t="array" ref="D18">_xlfn.XLOOKUP(C18,Table3[Jeudi],Table3[[Début]:[Fin]],"")</f>
        <v/>
      </c>
      <c r="G18" s="2" t="str" cm="1">
        <f t="array" ref="G18">_xlfn.XLOOKUP(F18,Table3[Jeudi],Table3[[Début]:[Fin]],"")</f>
        <v/>
      </c>
      <c r="J18" s="2" t="str" cm="1">
        <f t="array" ref="J18">_xlfn.XLOOKUP(I18,Table3[Jeudi],Table3[[Début]:[Fin]],"")</f>
        <v/>
      </c>
    </row>
    <row r="19" spans="1:10" x14ac:dyDescent="0.4">
      <c r="A19" t="str">
        <v>Prouvost</v>
      </c>
      <c r="B19" t="str">
        <v>Eugénie</v>
      </c>
      <c r="D19" s="2" t="str" cm="1">
        <f t="array" ref="D19">_xlfn.XLOOKUP(C19,Table3[Jeudi],Table3[[Début]:[Fin]],"")</f>
        <v/>
      </c>
      <c r="G19" s="2" t="str" cm="1">
        <f t="array" ref="G19">_xlfn.XLOOKUP(F19,Table3[Jeudi],Table3[[Début]:[Fin]],"")</f>
        <v/>
      </c>
      <c r="J19" s="2" t="str" cm="1">
        <f t="array" ref="J19">_xlfn.XLOOKUP(I19,Table3[Jeudi],Table3[[Début]:[Fin]],"")</f>
        <v/>
      </c>
    </row>
    <row r="20" spans="1:10" x14ac:dyDescent="0.4">
      <c r="A20" t="str">
        <v xml:space="preserve">Rakotonandrasana </v>
      </c>
      <c r="B20" t="str">
        <v>Iris</v>
      </c>
      <c r="D20" s="2" t="str" cm="1">
        <f t="array" ref="D20">_xlfn.XLOOKUP(C20,Table3[Jeudi],Table3[[Début]:[Fin]],"")</f>
        <v/>
      </c>
      <c r="G20" s="2" t="str" cm="1">
        <f t="array" ref="G20">_xlfn.XLOOKUP(F20,Table3[Jeudi],Table3[[Début]:[Fin]],"")</f>
        <v/>
      </c>
      <c r="J20" s="2" t="str" cm="1">
        <f t="array" ref="J20">_xlfn.XLOOKUP(I20,Table3[Jeudi],Table3[[Début]:[Fin]],"")</f>
        <v/>
      </c>
    </row>
    <row r="21" spans="1:10" x14ac:dyDescent="0.4">
      <c r="A21" t="str">
        <v>Bürgisser</v>
      </c>
      <c r="B21" t="str">
        <v>Jamilah</v>
      </c>
      <c r="D21" s="2" t="str" cm="1">
        <f t="array" ref="D21">_xlfn.XLOOKUP(C21,Table3[Jeudi],Table3[[Début]:[Fin]],"")</f>
        <v/>
      </c>
      <c r="G21" s="2" t="str" cm="1">
        <f t="array" ref="G21">_xlfn.XLOOKUP(F21,Table3[Jeudi],Table3[[Début]:[Fin]],"")</f>
        <v/>
      </c>
      <c r="J21" s="2" t="str" cm="1">
        <f t="array" ref="J21">_xlfn.XLOOKUP(I21,Table3[Jeudi],Table3[[Début]:[Fin]],"")</f>
        <v/>
      </c>
    </row>
    <row r="22" spans="1:10" x14ac:dyDescent="0.4">
      <c r="A22" t="str">
        <v>Ruscio</v>
      </c>
      <c r="B22" t="str">
        <v>Jolan</v>
      </c>
      <c r="D22" s="2" t="str" cm="1">
        <f t="array" ref="D22">_xlfn.XLOOKUP(C22,Table3[Jeudi],Table3[[Début]:[Fin]],"")</f>
        <v/>
      </c>
      <c r="G22" s="2" t="str" cm="1">
        <f t="array" ref="G22">_xlfn.XLOOKUP(F22,Table3[Jeudi],Table3[[Début]:[Fin]],"")</f>
        <v/>
      </c>
      <c r="J22" s="2" t="str" cm="1">
        <f t="array" ref="J22">_xlfn.XLOOKUP(I22,Table3[Jeudi],Table3[[Début]:[Fin]],"")</f>
        <v/>
      </c>
    </row>
    <row r="23" spans="1:10" x14ac:dyDescent="0.4">
      <c r="A23" t="str">
        <v>Wuilloud</v>
      </c>
      <c r="B23" t="str">
        <v xml:space="preserve">Jonas </v>
      </c>
      <c r="D23" s="2" t="str" cm="1">
        <f t="array" ref="D23">_xlfn.XLOOKUP(C23,Table3[Jeudi],Table3[[Début]:[Fin]],"")</f>
        <v/>
      </c>
      <c r="G23" s="2" t="str" cm="1">
        <f t="array" ref="G23">_xlfn.XLOOKUP(F23,Table3[Jeudi],Table3[[Début]:[Fin]],"")</f>
        <v/>
      </c>
      <c r="J23" s="2" t="str" cm="1">
        <f t="array" ref="J23">_xlfn.XLOOKUP(I23,Table3[Jeudi],Table3[[Début]:[Fin]],"")</f>
        <v/>
      </c>
    </row>
    <row r="24" spans="1:10" x14ac:dyDescent="0.4">
      <c r="A24" t="str">
        <v>Pirolley</v>
      </c>
      <c r="B24" t="str">
        <v>Jules</v>
      </c>
      <c r="D24" s="2" t="str" cm="1">
        <f t="array" ref="D24">_xlfn.XLOOKUP(C24,Table3[Jeudi],Table3[[Début]:[Fin]],"")</f>
        <v/>
      </c>
      <c r="G24" s="2" t="str" cm="1">
        <f t="array" ref="G24">_xlfn.XLOOKUP(F24,Table3[Jeudi],Table3[[Début]:[Fin]],"")</f>
        <v/>
      </c>
      <c r="J24" s="2" t="str" cm="1">
        <f t="array" ref="J24">_xlfn.XLOOKUP(I24,Table3[Jeudi],Table3[[Début]:[Fin]],"")</f>
        <v/>
      </c>
    </row>
    <row r="25" spans="1:10" x14ac:dyDescent="0.4">
      <c r="A25" t="str">
        <v>Chavaillaz</v>
      </c>
      <c r="B25" t="str">
        <v>Julie</v>
      </c>
      <c r="D25" s="2" t="str" cm="1">
        <f t="array" ref="D25">_xlfn.XLOOKUP(C25,Table3[Jeudi],Table3[[Début]:[Fin]],"")</f>
        <v/>
      </c>
      <c r="G25" s="2" t="str" cm="1">
        <f t="array" ref="G25">_xlfn.XLOOKUP(F25,Table3[Jeudi],Table3[[Début]:[Fin]],"")</f>
        <v/>
      </c>
      <c r="J25" s="2" t="str" cm="1">
        <f t="array" ref="J25">_xlfn.XLOOKUP(I25,Table3[Jeudi],Table3[[Début]:[Fin]],"")</f>
        <v/>
      </c>
    </row>
    <row r="26" spans="1:10" x14ac:dyDescent="0.4">
      <c r="A26" t="str">
        <v>Oeschger</v>
      </c>
      <c r="B26" t="str">
        <v>Kristel</v>
      </c>
      <c r="D26" s="2" t="str" cm="1">
        <f t="array" ref="D26">_xlfn.XLOOKUP(C26,Table3[Jeudi],Table3[[Début]:[Fin]],"")</f>
        <v/>
      </c>
      <c r="G26" s="2" t="str" cm="1">
        <f t="array" ref="G26">_xlfn.XLOOKUP(F26,Table3[Jeudi],Table3[[Début]:[Fin]],"")</f>
        <v/>
      </c>
      <c r="J26" s="2" t="str" cm="1">
        <f t="array" ref="J26">_xlfn.XLOOKUP(I26,Table3[Jeudi],Table3[[Début]:[Fin]],"")</f>
        <v/>
      </c>
    </row>
    <row r="27" spans="1:10" x14ac:dyDescent="0.4">
      <c r="A27" t="str">
        <v>Baltzinger</v>
      </c>
      <c r="B27" t="str">
        <v>Léa</v>
      </c>
      <c r="D27" s="2" t="str" cm="1">
        <f t="array" ref="D27">_xlfn.XLOOKUP(C27,Table3[Jeudi],Table3[[Début]:[Fin]],"")</f>
        <v/>
      </c>
      <c r="G27" s="2" t="str" cm="1">
        <f t="array" ref="G27">_xlfn.XLOOKUP(F27,Table3[Jeudi],Table3[[Début]:[Fin]],"")</f>
        <v/>
      </c>
      <c r="J27" s="2" t="str" cm="1">
        <f t="array" ref="J27">_xlfn.XLOOKUP(I27,Table3[Jeudi],Table3[[Début]:[Fin]],"")</f>
        <v/>
      </c>
    </row>
    <row r="28" spans="1:10" x14ac:dyDescent="0.4">
      <c r="A28" t="str">
        <v>Chambaz</v>
      </c>
      <c r="B28" t="str">
        <v>Léa</v>
      </c>
      <c r="D28" s="2" t="str" cm="1">
        <f t="array" ref="D28">_xlfn.XLOOKUP(C28,Table3[Jeudi],Table3[[Début]:[Fin]],"")</f>
        <v/>
      </c>
      <c r="G28" s="2" t="str" cm="1">
        <f t="array" ref="G28">_xlfn.XLOOKUP(F28,Table3[Jeudi],Table3[[Début]:[Fin]],"")</f>
        <v/>
      </c>
      <c r="J28" s="2" t="str" cm="1">
        <f t="array" ref="J28">_xlfn.XLOOKUP(I28,Table3[Jeudi],Table3[[Début]:[Fin]],"")</f>
        <v/>
      </c>
    </row>
    <row r="29" spans="1:10" x14ac:dyDescent="0.4">
      <c r="A29" t="str">
        <v>Jaquet</v>
      </c>
      <c r="B29" t="str">
        <v>Lisa</v>
      </c>
      <c r="D29" s="2" t="str" cm="1">
        <f t="array" ref="D29">_xlfn.XLOOKUP(C29,Table3[Jeudi],Table3[[Début]:[Fin]],"")</f>
        <v/>
      </c>
      <c r="G29" s="2" t="str" cm="1">
        <f t="array" ref="G29">_xlfn.XLOOKUP(F29,Table3[Jeudi],Table3[[Début]:[Fin]],"")</f>
        <v/>
      </c>
      <c r="J29" s="2" t="str" cm="1">
        <f t="array" ref="J29">_xlfn.XLOOKUP(I29,Table3[Jeudi],Table3[[Début]:[Fin]],"")</f>
        <v/>
      </c>
    </row>
    <row r="30" spans="1:10" x14ac:dyDescent="0.4">
      <c r="A30" t="str">
        <v>Magnin</v>
      </c>
      <c r="B30" t="str">
        <v>Lisa</v>
      </c>
      <c r="D30" s="2" t="str" cm="1">
        <f t="array" ref="D30">_xlfn.XLOOKUP(C30,Table3[Jeudi],Table3[[Début]:[Fin]],"")</f>
        <v/>
      </c>
      <c r="G30" s="2" t="str" cm="1">
        <f t="array" ref="G30">_xlfn.XLOOKUP(F30,Table3[Jeudi],Table3[[Début]:[Fin]],"")</f>
        <v/>
      </c>
      <c r="J30" s="2" t="str" cm="1">
        <f t="array" ref="J30">_xlfn.XLOOKUP(I30,Table3[Jeudi],Table3[[Début]:[Fin]],"")</f>
        <v/>
      </c>
    </row>
    <row r="31" spans="1:10" x14ac:dyDescent="0.4">
      <c r="A31" t="str">
        <v>Cardis</v>
      </c>
      <c r="B31" t="str">
        <v>Louis</v>
      </c>
      <c r="D31" s="2" t="str" cm="1">
        <f t="array" ref="D31">_xlfn.XLOOKUP(C31,Table3[Jeudi],Table3[[Début]:[Fin]],"")</f>
        <v/>
      </c>
      <c r="G31" s="2" t="str" cm="1">
        <f t="array" ref="G31">_xlfn.XLOOKUP(F31,Table3[Jeudi],Table3[[Début]:[Fin]],"")</f>
        <v/>
      </c>
      <c r="J31" s="2" t="str" cm="1">
        <f t="array" ref="J31">_xlfn.XLOOKUP(I31,Table3[Jeudi],Table3[[Début]:[Fin]],"")</f>
        <v/>
      </c>
    </row>
    <row r="32" spans="1:10" x14ac:dyDescent="0.4">
      <c r="A32" t="str">
        <v>Post</v>
      </c>
      <c r="B32" t="str">
        <v>Louis</v>
      </c>
      <c r="D32" s="2" t="str" cm="1">
        <f t="array" ref="D32">_xlfn.XLOOKUP(C32,Table3[Jeudi],Table3[[Début]:[Fin]],"")</f>
        <v/>
      </c>
      <c r="G32" s="2" t="str" cm="1">
        <f t="array" ref="G32">_xlfn.XLOOKUP(F32,Table3[Jeudi],Table3[[Début]:[Fin]],"")</f>
        <v/>
      </c>
      <c r="J32" s="2" t="str" cm="1">
        <f t="array" ref="J32">_xlfn.XLOOKUP(I32,Table3[Jeudi],Table3[[Début]:[Fin]],"")</f>
        <v/>
      </c>
    </row>
    <row r="33" spans="1:10" x14ac:dyDescent="0.4">
      <c r="A33" t="str">
        <v>Blanchard</v>
      </c>
      <c r="B33" t="str">
        <v>Louise</v>
      </c>
      <c r="D33" s="2" t="str" cm="1">
        <f t="array" ref="D33">_xlfn.XLOOKUP(C33,Table3[Jeudi],Table3[[Début]:[Fin]],"")</f>
        <v/>
      </c>
      <c r="G33" s="2" t="str" cm="1">
        <f t="array" ref="G33">_xlfn.XLOOKUP(F33,Table3[Jeudi],Table3[[Début]:[Fin]],"")</f>
        <v/>
      </c>
      <c r="J33" s="2" t="str" cm="1">
        <f t="array" ref="J33">_xlfn.XLOOKUP(I33,Table3[Jeudi],Table3[[Début]:[Fin]],"")</f>
        <v/>
      </c>
    </row>
    <row r="34" spans="1:10" x14ac:dyDescent="0.4">
      <c r="A34" t="str">
        <v>Chastroux</v>
      </c>
      <c r="B34" t="str">
        <v>Lucas</v>
      </c>
      <c r="D34" s="2" t="str" cm="1">
        <f t="array" ref="D34">_xlfn.XLOOKUP(C34,Table3[Jeudi],Table3[[Début]:[Fin]],"")</f>
        <v/>
      </c>
      <c r="G34" s="2" t="str" cm="1">
        <f t="array" ref="G34">_xlfn.XLOOKUP(F34,Table3[Jeudi],Table3[[Début]:[Fin]],"")</f>
        <v/>
      </c>
      <c r="J34" s="2" t="str" cm="1">
        <f t="array" ref="J34">_xlfn.XLOOKUP(I34,Table3[Jeudi],Table3[[Début]:[Fin]],"")</f>
        <v/>
      </c>
    </row>
    <row r="35" spans="1:10" x14ac:dyDescent="0.4">
      <c r="A35" t="str">
        <v>Meyer</v>
      </c>
      <c r="B35" t="str">
        <v>Lucie</v>
      </c>
      <c r="D35" s="2" t="str" cm="1">
        <f t="array" ref="D35">_xlfn.XLOOKUP(C35,Table3[Jeudi],Table3[[Début]:[Fin]],"")</f>
        <v/>
      </c>
      <c r="G35" s="2" t="str" cm="1">
        <f t="array" ref="G35">_xlfn.XLOOKUP(F35,Table3[Jeudi],Table3[[Début]:[Fin]],"")</f>
        <v/>
      </c>
      <c r="J35" s="2" t="str" cm="1">
        <f t="array" ref="J35">_xlfn.XLOOKUP(I35,Table3[Jeudi],Table3[[Début]:[Fin]],"")</f>
        <v/>
      </c>
    </row>
    <row r="36" spans="1:10" x14ac:dyDescent="0.4">
      <c r="A36" t="str">
        <v>Ménétrey</v>
      </c>
      <c r="B36" t="str">
        <v>Maëlan</v>
      </c>
      <c r="D36" s="2" t="str" cm="1">
        <f t="array" ref="D36">_xlfn.XLOOKUP(C36,Table3[Jeudi],Table3[[Début]:[Fin]],"")</f>
        <v/>
      </c>
      <c r="G36" s="2" t="str" cm="1">
        <f t="array" ref="G36">_xlfn.XLOOKUP(F36,Table3[Jeudi],Table3[[Début]:[Fin]],"")</f>
        <v/>
      </c>
      <c r="J36" s="2" t="str" cm="1">
        <f t="array" ref="J36">_xlfn.XLOOKUP(I36,Table3[Jeudi],Table3[[Début]:[Fin]],"")</f>
        <v/>
      </c>
    </row>
    <row r="37" spans="1:10" x14ac:dyDescent="0.4">
      <c r="A37" t="str">
        <v>Chambaz</v>
      </c>
      <c r="B37" t="str">
        <v>Maëlle</v>
      </c>
      <c r="D37" s="2" t="str" cm="1">
        <f t="array" ref="D37">_xlfn.XLOOKUP(C37,Table3[Jeudi],Table3[[Début]:[Fin]],"")</f>
        <v/>
      </c>
      <c r="G37" s="2" t="str" cm="1">
        <f t="array" ref="G37">_xlfn.XLOOKUP(F37,Table3[Jeudi],Table3[[Début]:[Fin]],"")</f>
        <v/>
      </c>
      <c r="J37" s="2" t="str" cm="1">
        <f t="array" ref="J37">_xlfn.XLOOKUP(I37,Table3[Jeudi],Table3[[Début]:[Fin]],"")</f>
        <v/>
      </c>
    </row>
    <row r="38" spans="1:10" x14ac:dyDescent="0.4">
      <c r="A38" t="str">
        <v>Felix</v>
      </c>
      <c r="B38" t="str">
        <v>Marius</v>
      </c>
      <c r="D38" s="2" t="str" cm="1">
        <f t="array" ref="D38">_xlfn.XLOOKUP(C38,Table3[Jeudi],Table3[[Début]:[Fin]],"")</f>
        <v/>
      </c>
      <c r="G38" s="2" t="str" cm="1">
        <f t="array" ref="G38">_xlfn.XLOOKUP(F38,Table3[Jeudi],Table3[[Début]:[Fin]],"")</f>
        <v/>
      </c>
      <c r="J38" s="2" t="str" cm="1">
        <f t="array" ref="J38">_xlfn.XLOOKUP(I38,Table3[Jeudi],Table3[[Début]:[Fin]],"")</f>
        <v/>
      </c>
    </row>
    <row r="39" spans="1:10" x14ac:dyDescent="0.4">
      <c r="A39" t="str">
        <v>Ledru</v>
      </c>
      <c r="B39" t="str">
        <v>Marot</v>
      </c>
      <c r="D39" s="2" t="str" cm="1">
        <f t="array" ref="D39">_xlfn.XLOOKUP(C39,Table3[Jeudi],Table3[[Début]:[Fin]],"")</f>
        <v/>
      </c>
      <c r="G39" s="2" t="str" cm="1">
        <f t="array" ref="G39">_xlfn.XLOOKUP(F39,Table3[Jeudi],Table3[[Début]:[Fin]],"")</f>
        <v/>
      </c>
      <c r="J39" s="2" t="str" cm="1">
        <f t="array" ref="J39">_xlfn.XLOOKUP(I39,Table3[Jeudi],Table3[[Début]:[Fin]],"")</f>
        <v/>
      </c>
    </row>
    <row r="40" spans="1:10" x14ac:dyDescent="0.4">
      <c r="A40" t="str">
        <v>Cuinet</v>
      </c>
      <c r="B40" t="str">
        <v>Mathis</v>
      </c>
      <c r="D40" s="2" t="str" cm="1">
        <f t="array" ref="D40">_xlfn.XLOOKUP(C40,Table3[Jeudi],Table3[[Début]:[Fin]],"")</f>
        <v/>
      </c>
      <c r="G40" s="2" t="str" cm="1">
        <f t="array" ref="G40">_xlfn.XLOOKUP(F40,Table3[Jeudi],Table3[[Début]:[Fin]],"")</f>
        <v/>
      </c>
      <c r="J40" s="2" t="str" cm="1">
        <f t="array" ref="J40">_xlfn.XLOOKUP(I40,Table3[Jeudi],Table3[[Début]:[Fin]],"")</f>
        <v/>
      </c>
    </row>
    <row r="41" spans="1:10" x14ac:dyDescent="0.4">
      <c r="A41" t="str">
        <v>Gavin</v>
      </c>
      <c r="B41" t="str">
        <v>Matteo</v>
      </c>
      <c r="D41" s="2" t="str" cm="1">
        <f t="array" ref="D41">_xlfn.XLOOKUP(C41,Table3[Jeudi],Table3[[Début]:[Fin]],"")</f>
        <v/>
      </c>
      <c r="G41" s="2" t="str" cm="1">
        <f t="array" ref="G41">_xlfn.XLOOKUP(F41,Table3[Jeudi],Table3[[Début]:[Fin]],"")</f>
        <v/>
      </c>
      <c r="J41" s="2" t="str" cm="1">
        <f t="array" ref="J41">_xlfn.XLOOKUP(I41,Table3[Jeudi],Table3[[Début]:[Fin]],"")</f>
        <v/>
      </c>
    </row>
    <row r="42" spans="1:10" x14ac:dyDescent="0.4">
      <c r="A42" t="str">
        <v>Debray</v>
      </c>
      <c r="B42" t="str">
        <v>Maxime</v>
      </c>
      <c r="D42" s="2" t="str" cm="1">
        <f t="array" ref="D42">_xlfn.XLOOKUP(C42,Table3[Jeudi],Table3[[Début]:[Fin]],"")</f>
        <v/>
      </c>
      <c r="G42" s="2" t="str" cm="1">
        <f t="array" ref="G42">_xlfn.XLOOKUP(F42,Table3[Jeudi],Table3[[Début]:[Fin]],"")</f>
        <v/>
      </c>
      <c r="J42" s="2" t="str" cm="1">
        <f t="array" ref="J42">_xlfn.XLOOKUP(I42,Table3[Jeudi],Table3[[Début]:[Fin]],"")</f>
        <v/>
      </c>
    </row>
    <row r="43" spans="1:10" x14ac:dyDescent="0.4">
      <c r="A43" t="str">
        <v>Corbelli</v>
      </c>
      <c r="B43" t="str">
        <v>Maya</v>
      </c>
      <c r="D43" s="2" t="str" cm="1">
        <f t="array" ref="D43">_xlfn.XLOOKUP(C43,Table3[Jeudi],Table3[[Début]:[Fin]],"")</f>
        <v/>
      </c>
      <c r="G43" s="2" t="str" cm="1">
        <f t="array" ref="G43">_xlfn.XLOOKUP(F43,Table3[Jeudi],Table3[[Début]:[Fin]],"")</f>
        <v/>
      </c>
      <c r="J43" s="2" t="str" cm="1">
        <f t="array" ref="J43">_xlfn.XLOOKUP(I43,Table3[Jeudi],Table3[[Début]:[Fin]],"")</f>
        <v/>
      </c>
    </row>
    <row r="44" spans="1:10" x14ac:dyDescent="0.4">
      <c r="A44" t="str">
        <v>Pasche</v>
      </c>
      <c r="B44" t="str">
        <v>Mickaël</v>
      </c>
      <c r="D44" s="2" t="str" cm="1">
        <f t="array" ref="D44">_xlfn.XLOOKUP(C44,Table3[Jeudi],Table3[[Début]:[Fin]],"")</f>
        <v/>
      </c>
      <c r="G44" s="2" t="str" cm="1">
        <f t="array" ref="G44">_xlfn.XLOOKUP(F44,Table3[Jeudi],Table3[[Début]:[Fin]],"")</f>
        <v/>
      </c>
      <c r="J44" s="2" t="str" cm="1">
        <f t="array" ref="J44">_xlfn.XLOOKUP(I44,Table3[Jeudi],Table3[[Début]:[Fin]],"")</f>
        <v/>
      </c>
    </row>
    <row r="45" spans="1:10" x14ac:dyDescent="0.4">
      <c r="A45" t="str">
        <v>Ménard</v>
      </c>
      <c r="B45" t="str">
        <v>Mireille</v>
      </c>
      <c r="D45" s="2" t="str" cm="1">
        <f t="array" ref="D45">_xlfn.XLOOKUP(C45,Table3[Jeudi],Table3[[Début]:[Fin]],"")</f>
        <v/>
      </c>
      <c r="G45" s="2" t="str" cm="1">
        <f t="array" ref="G45">_xlfn.XLOOKUP(F45,Table3[Jeudi],Table3[[Début]:[Fin]],"")</f>
        <v/>
      </c>
      <c r="J45" s="2" t="str" cm="1">
        <f t="array" ref="J45">_xlfn.XLOOKUP(I45,Table3[Jeudi],Table3[[Début]:[Fin]],"")</f>
        <v/>
      </c>
    </row>
    <row r="46" spans="1:10" x14ac:dyDescent="0.4">
      <c r="A46" t="str">
        <v>Fargues</v>
      </c>
      <c r="B46" t="str">
        <v>Morgana</v>
      </c>
      <c r="D46" s="2" t="str" cm="1">
        <f t="array" ref="D46">_xlfn.XLOOKUP(C46,Table3[Jeudi],Table3[[Début]:[Fin]],"")</f>
        <v/>
      </c>
      <c r="G46" s="2" t="str" cm="1">
        <f t="array" ref="G46">_xlfn.XLOOKUP(F46,Table3[Jeudi],Table3[[Début]:[Fin]],"")</f>
        <v/>
      </c>
      <c r="J46" s="2" t="str" cm="1">
        <f t="array" ref="J46">_xlfn.XLOOKUP(I46,Table3[Jeudi],Table3[[Début]:[Fin]],"")</f>
        <v/>
      </c>
    </row>
    <row r="47" spans="1:10" x14ac:dyDescent="0.4">
      <c r="A47" t="str">
        <v>Scyboz (Lambelet)</v>
      </c>
      <c r="B47" t="str">
        <v>Morgane</v>
      </c>
      <c r="D47" s="2" t="str" cm="1">
        <f t="array" ref="D47">_xlfn.XLOOKUP(C47,Table3[Jeudi],Table3[[Début]:[Fin]],"")</f>
        <v/>
      </c>
      <c r="G47" s="2" t="str" cm="1">
        <f t="array" ref="G47">_xlfn.XLOOKUP(F47,Table3[Jeudi],Table3[[Début]:[Fin]],"")</f>
        <v/>
      </c>
      <c r="J47" s="2" t="str" cm="1">
        <f t="array" ref="J47">_xlfn.XLOOKUP(I47,Table3[Jeudi],Table3[[Début]:[Fin]],"")</f>
        <v/>
      </c>
    </row>
    <row r="48" spans="1:10" x14ac:dyDescent="0.4">
      <c r="A48" t="str">
        <v>Koux</v>
      </c>
      <c r="B48" t="str">
        <v>Nathalia</v>
      </c>
      <c r="D48" s="2" t="str" cm="1">
        <f t="array" ref="D48">_xlfn.XLOOKUP(C48,Table3[Jeudi],Table3[[Début]:[Fin]],"")</f>
        <v/>
      </c>
      <c r="G48" s="2" t="str" cm="1">
        <f t="array" ref="G48">_xlfn.XLOOKUP(F48,Table3[Jeudi],Table3[[Début]:[Fin]],"")</f>
        <v/>
      </c>
      <c r="J48" s="2" t="str" cm="1">
        <f t="array" ref="J48">_xlfn.XLOOKUP(I48,Table3[Jeudi],Table3[[Début]:[Fin]],"")</f>
        <v/>
      </c>
    </row>
    <row r="49" spans="1:10" x14ac:dyDescent="0.4">
      <c r="A49" t="str">
        <v>Cherpillod</v>
      </c>
      <c r="B49" t="str">
        <v>Noah</v>
      </c>
      <c r="D49" s="2" t="str" cm="1">
        <f t="array" ref="D49">_xlfn.XLOOKUP(C49,Table3[Jeudi],Table3[[Début]:[Fin]],"")</f>
        <v/>
      </c>
      <c r="G49" s="2" t="str" cm="1">
        <f t="array" ref="G49">_xlfn.XLOOKUP(F49,Table3[Jeudi],Table3[[Début]:[Fin]],"")</f>
        <v/>
      </c>
      <c r="J49" s="2" t="str" cm="1">
        <f t="array" ref="J49">_xlfn.XLOOKUP(I49,Table3[Jeudi],Table3[[Début]:[Fin]],"")</f>
        <v/>
      </c>
    </row>
    <row r="50" spans="1:10" x14ac:dyDescent="0.4">
      <c r="A50" t="str">
        <v>Chambaz</v>
      </c>
      <c r="B50" t="str">
        <v>Patrick</v>
      </c>
      <c r="D50" s="2" t="str" cm="1">
        <f t="array" ref="D50">_xlfn.XLOOKUP(C50,Table3[Jeudi],Table3[[Début]:[Fin]],"")</f>
        <v/>
      </c>
      <c r="G50" s="2" t="str" cm="1">
        <f t="array" ref="G50">_xlfn.XLOOKUP(F50,Table3[Jeudi],Table3[[Début]:[Fin]],"")</f>
        <v/>
      </c>
      <c r="J50" s="2" t="str" cm="1">
        <f t="array" ref="J50">_xlfn.XLOOKUP(I50,Table3[Jeudi],Table3[[Début]:[Fin]],"")</f>
        <v/>
      </c>
    </row>
    <row r="51" spans="1:10" x14ac:dyDescent="0.4">
      <c r="A51" t="str">
        <v>Assaoui</v>
      </c>
      <c r="B51" t="str">
        <v>Rama</v>
      </c>
      <c r="D51" s="2" t="str" cm="1">
        <f t="array" ref="D51">_xlfn.XLOOKUP(C51,Table3[Jeudi],Table3[[Début]:[Fin]],"")</f>
        <v/>
      </c>
      <c r="G51" s="2" t="str" cm="1">
        <f t="array" ref="G51">_xlfn.XLOOKUP(F51,Table3[Jeudi],Table3[[Début]:[Fin]],"")</f>
        <v/>
      </c>
      <c r="J51" s="2" t="str" cm="1">
        <f t="array" ref="J51">_xlfn.XLOOKUP(I51,Table3[Jeudi],Table3[[Début]:[Fin]],"")</f>
        <v/>
      </c>
    </row>
    <row r="52" spans="1:10" x14ac:dyDescent="0.4">
      <c r="A52" t="str">
        <v>Lacroze</v>
      </c>
      <c r="B52" t="str">
        <v>Raphaël</v>
      </c>
      <c r="D52" s="2" t="str" cm="1">
        <f t="array" ref="D52">_xlfn.XLOOKUP(C52,Table3[Jeudi],Table3[[Début]:[Fin]],"")</f>
        <v/>
      </c>
      <c r="G52" s="2" t="str" cm="1">
        <f t="array" ref="G52">_xlfn.XLOOKUP(F52,Table3[Jeudi],Table3[[Début]:[Fin]],"")</f>
        <v/>
      </c>
      <c r="J52" s="2" t="str" cm="1">
        <f t="array" ref="J52">_xlfn.XLOOKUP(I52,Table3[Jeudi],Table3[[Début]:[Fin]],"")</f>
        <v/>
      </c>
    </row>
    <row r="53" spans="1:10" x14ac:dyDescent="0.4">
      <c r="A53" t="str">
        <v>Neidhart</v>
      </c>
      <c r="B53" t="str">
        <v>Raphaëlle</v>
      </c>
      <c r="D53" s="2" t="str" cm="1">
        <f t="array" ref="D53">_xlfn.XLOOKUP(C53,Table3[Jeudi],Table3[[Début]:[Fin]],"")</f>
        <v/>
      </c>
      <c r="G53" s="2" t="str" cm="1">
        <f t="array" ref="G53">_xlfn.XLOOKUP(F53,Table3[Jeudi],Table3[[Début]:[Fin]],"")</f>
        <v/>
      </c>
      <c r="J53" s="2" t="str" cm="1">
        <f t="array" ref="J53">_xlfn.XLOOKUP(I53,Table3[Jeudi],Table3[[Début]:[Fin]],"")</f>
        <v/>
      </c>
    </row>
    <row r="54" spans="1:10" x14ac:dyDescent="0.4">
      <c r="A54" t="str">
        <v xml:space="preserve">Lanni </v>
      </c>
      <c r="B54" t="str">
        <v>Roxanne</v>
      </c>
      <c r="D54" s="2" t="str" cm="1">
        <f t="array" ref="D54">_xlfn.XLOOKUP(C54,Table3[Jeudi],Table3[[Début]:[Fin]],"")</f>
        <v/>
      </c>
      <c r="G54" s="2" t="str" cm="1">
        <f t="array" ref="G54">_xlfn.XLOOKUP(F54,Table3[Jeudi],Table3[[Début]:[Fin]],"")</f>
        <v/>
      </c>
      <c r="J54" s="2" t="str" cm="1">
        <f t="array" ref="J54">_xlfn.XLOOKUP(I54,Table3[Jeudi],Table3[[Début]:[Fin]],"")</f>
        <v/>
      </c>
    </row>
    <row r="55" spans="1:10" x14ac:dyDescent="0.4">
      <c r="A55" t="str">
        <v>Schiesser</v>
      </c>
      <c r="B55" t="str">
        <v>Sébastien</v>
      </c>
      <c r="D55" s="2" t="str" cm="1">
        <f t="array" ref="D55">_xlfn.XLOOKUP(C55,Table3[Jeudi],Table3[[Début]:[Fin]],"")</f>
        <v/>
      </c>
      <c r="G55" s="2" t="str" cm="1">
        <f t="array" ref="G55">_xlfn.XLOOKUP(F55,Table3[Jeudi],Table3[[Début]:[Fin]],"")</f>
        <v/>
      </c>
      <c r="J55" s="2" t="str" cm="1">
        <f t="array" ref="J55">_xlfn.XLOOKUP(I55,Table3[Jeudi],Table3[[Début]:[Fin]],"")</f>
        <v/>
      </c>
    </row>
    <row r="56" spans="1:10" x14ac:dyDescent="0.4">
      <c r="A56" t="str">
        <v>Lambelet</v>
      </c>
      <c r="B56" t="str">
        <v>Simon</v>
      </c>
      <c r="D56" s="2" t="str" cm="1">
        <f t="array" ref="D56">_xlfn.XLOOKUP(C56,Table3[Jeudi],Table3[[Début]:[Fin]],"")</f>
        <v/>
      </c>
      <c r="G56" s="2" t="str" cm="1">
        <f t="array" ref="G56">_xlfn.XLOOKUP(F56,Table3[Jeudi],Table3[[Début]:[Fin]],"")</f>
        <v/>
      </c>
      <c r="J56" s="2" t="str" cm="1">
        <f t="array" ref="J56">_xlfn.XLOOKUP(I56,Table3[Jeudi],Table3[[Début]:[Fin]],"")</f>
        <v/>
      </c>
    </row>
    <row r="57" spans="1:10" x14ac:dyDescent="0.4">
      <c r="A57" t="str">
        <v>Cyprien</v>
      </c>
      <c r="B57" t="str">
        <v>Theo</v>
      </c>
      <c r="D57" s="2" t="str" cm="1">
        <f t="array" ref="D57">_xlfn.XLOOKUP(C57,Table3[Jeudi],Table3[[Début]:[Fin]],"")</f>
        <v/>
      </c>
      <c r="G57" s="2" t="str" cm="1">
        <f t="array" ref="G57">_xlfn.XLOOKUP(F57,Table3[Jeudi],Table3[[Début]:[Fin]],"")</f>
        <v/>
      </c>
      <c r="J57" s="2" t="str" cm="1">
        <f t="array" ref="J57">_xlfn.XLOOKUP(I57,Table3[Jeudi],Table3[[Début]:[Fin]],"")</f>
        <v/>
      </c>
    </row>
    <row r="58" spans="1:10" x14ac:dyDescent="0.4">
      <c r="A58" t="str">
        <v>Clerici</v>
      </c>
      <c r="B58" t="str">
        <v>Thibault</v>
      </c>
      <c r="D58" s="2" t="str" cm="1">
        <f t="array" ref="D58">_xlfn.XLOOKUP(C58,Table3[Jeudi],Table3[[Début]:[Fin]],"")</f>
        <v/>
      </c>
      <c r="G58" s="2" t="str" cm="1">
        <f t="array" ref="G58">_xlfn.XLOOKUP(F58,Table3[Jeudi],Table3[[Début]:[Fin]],"")</f>
        <v/>
      </c>
      <c r="J58" s="2" t="str" cm="1">
        <f t="array" ref="J58">_xlfn.XLOOKUP(I58,Table3[Jeudi],Table3[[Début]:[Fin]],"")</f>
        <v/>
      </c>
    </row>
    <row r="59" spans="1:10" x14ac:dyDescent="0.4">
      <c r="A59" t="str">
        <v>Lagier</v>
      </c>
      <c r="B59" t="str">
        <v>Tician</v>
      </c>
      <c r="D59" s="2" t="str" cm="1">
        <f t="array" ref="D59">_xlfn.XLOOKUP(C59,Table3[Jeudi],Table3[[Début]:[Fin]],"")</f>
        <v/>
      </c>
      <c r="G59" s="2" t="str" cm="1">
        <f t="array" ref="G59">_xlfn.XLOOKUP(F59,Table3[Jeudi],Table3[[Début]:[Fin]],"")</f>
        <v/>
      </c>
      <c r="J59" s="2" t="str" cm="1">
        <f t="array" ref="J59">_xlfn.XLOOKUP(I59,Table3[Jeudi],Table3[[Début]:[Fin]],"")</f>
        <v/>
      </c>
    </row>
    <row r="60" spans="1:10" x14ac:dyDescent="0.4">
      <c r="A60" t="str">
        <v>Ménétrey</v>
      </c>
      <c r="B60" t="str">
        <v>Titouan</v>
      </c>
      <c r="D60" s="2" t="str" cm="1">
        <f t="array" ref="D60">_xlfn.XLOOKUP(C60,Table3[Jeudi],Table3[[Début]:[Fin]],"")</f>
        <v/>
      </c>
      <c r="G60" s="2" t="str" cm="1">
        <f t="array" ref="G60">_xlfn.XLOOKUP(F60,Table3[Jeudi],Table3[[Début]:[Fin]],"")</f>
        <v/>
      </c>
      <c r="J60" s="2" t="str" cm="1">
        <f t="array" ref="J60">_xlfn.XLOOKUP(I60,Table3[Jeudi],Table3[[Début]:[Fin]],"")</f>
        <v/>
      </c>
    </row>
    <row r="61" spans="1:10" x14ac:dyDescent="0.4">
      <c r="A61" t="str">
        <v>Clerici</v>
      </c>
      <c r="B61" t="str">
        <v>Tristan</v>
      </c>
      <c r="D61" s="2" t="str" cm="1">
        <f t="array" ref="D61">_xlfn.XLOOKUP(C61,Table3[Jeudi],Table3[[Début]:[Fin]],"")</f>
        <v/>
      </c>
      <c r="G61" s="2" t="str" cm="1">
        <f t="array" ref="G61">_xlfn.XLOOKUP(F61,Table3[Jeudi],Table3[[Début]:[Fin]],"")</f>
        <v/>
      </c>
      <c r="J61" s="2" t="str" cm="1">
        <f t="array" ref="J61">_xlfn.XLOOKUP(I61,Table3[Jeudi],Table3[[Début]:[Fin]],"")</f>
        <v/>
      </c>
    </row>
    <row r="62" spans="1:10" x14ac:dyDescent="0.4">
      <c r="A62" t="str">
        <v>Bally</v>
      </c>
      <c r="B62" t="str">
        <v>Yann</v>
      </c>
      <c r="D62" s="2" t="str" cm="1">
        <f t="array" ref="D62">_xlfn.XLOOKUP(C62,Table3[Jeudi],Table3[[Début]:[Fin]],"")</f>
        <v/>
      </c>
      <c r="G62" s="2" t="str" cm="1">
        <f t="array" ref="G62">_xlfn.XLOOKUP(F62,Table3[Jeudi],Table3[[Début]:[Fin]],"")</f>
        <v/>
      </c>
      <c r="J62" s="2" t="str" cm="1">
        <f t="array" ref="J62">_xlfn.XLOOKUP(I62,Table3[Jeudi],Table3[[Début]:[Fin]],"")</f>
        <v/>
      </c>
    </row>
    <row r="63" spans="1:10" x14ac:dyDescent="0.4">
      <c r="A63" t="str">
        <v>Ménétrey</v>
      </c>
      <c r="B63" t="str">
        <v>Ysatis</v>
      </c>
      <c r="D63" s="2" t="str" cm="1">
        <f t="array" ref="D63">_xlfn.XLOOKUP(C63,Table3[Jeudi],Table3[[Début]:[Fin]],"")</f>
        <v/>
      </c>
      <c r="G63" s="2" t="str" cm="1">
        <f t="array" ref="G63">_xlfn.XLOOKUP(F63,Table3[Jeudi],Table3[[Début]:[Fin]],"")</f>
        <v/>
      </c>
      <c r="J63" s="2" t="str" cm="1">
        <f t="array" ref="J63">_xlfn.XLOOKUP(I63,Table3[Jeudi],Table3[[Début]:[Fin]],"")</f>
        <v/>
      </c>
    </row>
  </sheetData>
  <sheetProtection sheet="1" objects="1" scenarios="1"/>
  <protectedRanges>
    <protectedRange sqref="F1:F1048576 I1:I1048576" name="Concerts2"/>
    <protectedRange sqref="C1:C1048576" name="Concerts1"/>
  </protectedRanges>
  <conditionalFormatting sqref="A2:XFD65">
    <cfRule type="expression" dxfId="4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6BCB24-C15B-4D97-8AB4-08EAD90B44F4}">
          <x14:formula1>
            <xm:f>Concerts!$G$2:$G$19</xm:f>
          </x14:formula1>
          <xm:sqref>C2:C63 F2:F63 I2:I63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1C81-702E-43DD-AD1A-4F9D8DC2CE99}">
  <sheetPr codeName="Sheet4">
    <tabColor theme="7" tint="0.59999389629810485"/>
  </sheetPr>
  <dimension ref="A1:K63"/>
  <sheetViews>
    <sheetView workbookViewId="0">
      <selection activeCell="K7" sqref="K7"/>
    </sheetView>
  </sheetViews>
  <sheetFormatPr defaultRowHeight="14.6" x14ac:dyDescent="0.4"/>
  <cols>
    <col min="1" max="2" width="13.765625" customWidth="1"/>
    <col min="3" max="3" width="11.53515625" customWidth="1"/>
    <col min="4" max="5" width="8.765625" style="2" customWidth="1"/>
    <col min="6" max="6" width="11.53515625" customWidth="1"/>
    <col min="7" max="8" width="8.765625" style="2" customWidth="1"/>
    <col min="9" max="9" width="11.53515625" customWidth="1"/>
    <col min="10" max="11" width="8.765625" style="2" customWidth="1"/>
    <col min="12" max="12" width="2.84375" customWidth="1"/>
  </cols>
  <sheetData>
    <row r="1" spans="1:11" s="10" customFormat="1" x14ac:dyDescent="0.4">
      <c r="A1" s="10" t="s">
        <v>0</v>
      </c>
      <c r="B1" s="10" t="s">
        <v>1</v>
      </c>
      <c r="C1" s="10" t="s">
        <v>4</v>
      </c>
      <c r="D1" s="11" t="s">
        <v>2</v>
      </c>
      <c r="E1" s="11" t="s">
        <v>3</v>
      </c>
      <c r="F1" s="10" t="s">
        <v>5</v>
      </c>
      <c r="G1" s="11" t="s">
        <v>2</v>
      </c>
      <c r="H1" s="11" t="s">
        <v>3</v>
      </c>
      <c r="I1" s="10" t="s">
        <v>116</v>
      </c>
      <c r="J1" s="11" t="s">
        <v>2</v>
      </c>
      <c r="K1" s="11" t="s">
        <v>3</v>
      </c>
    </row>
    <row r="2" spans="1:11" x14ac:dyDescent="0.4">
      <c r="A2" t="str" cm="1">
        <f t="array" ref="A2:B63">_xlfn._xlws.FILTER('[1]Bénévoles 2026 V2'!$E:$F,'[1]Bénévoles 2026 V2'!$B:$B=TRUE)</f>
        <v>Bouvet</v>
      </c>
      <c r="B2" t="str">
        <v>Agathe</v>
      </c>
      <c r="D2" s="2" t="str" cm="1">
        <f t="array" ref="D2">_xlfn.XLOOKUP(C2,Table4[Vendredi],Table4[[Début]:[Fin]],"")</f>
        <v/>
      </c>
      <c r="G2" s="2" t="str" cm="1">
        <f t="array" ref="G2">_xlfn.XLOOKUP(F2,Table4[Vendredi],Table4[[Début]:[Fin]],"")</f>
        <v/>
      </c>
      <c r="J2" s="2" t="str" cm="1">
        <f t="array" ref="J2">_xlfn.XLOOKUP(I2,Table4[Vendredi],Table4[[Début]:[Fin]],"")</f>
        <v/>
      </c>
    </row>
    <row r="3" spans="1:11" x14ac:dyDescent="0.4">
      <c r="A3" t="str">
        <v>Bulka</v>
      </c>
      <c r="B3" t="str">
        <v>Alegria Lily</v>
      </c>
      <c r="D3" s="2" t="str" cm="1">
        <f t="array" ref="D3">_xlfn.XLOOKUP(C3,Table4[Vendredi],Table4[[Début]:[Fin]],"")</f>
        <v/>
      </c>
      <c r="G3" s="2" t="str" cm="1">
        <f t="array" ref="G3">_xlfn.XLOOKUP(F3,Table4[Vendredi],Table4[[Début]:[Fin]],"")</f>
        <v/>
      </c>
      <c r="J3" s="2" t="str" cm="1">
        <f t="array" ref="J3">_xlfn.XLOOKUP(I3,Table4[Vendredi],Table4[[Début]:[Fin]],"")</f>
        <v/>
      </c>
    </row>
    <row r="4" spans="1:11" x14ac:dyDescent="0.4">
      <c r="A4" t="str">
        <v>Bastian</v>
      </c>
      <c r="B4" t="str">
        <v>Alexandra</v>
      </c>
      <c r="D4" s="2" t="str" cm="1">
        <f t="array" ref="D4">_xlfn.XLOOKUP(C4,Table4[Vendredi],Table4[[Début]:[Fin]],"")</f>
        <v/>
      </c>
      <c r="G4" s="2" t="str" cm="1">
        <f t="array" ref="G4">_xlfn.XLOOKUP(F4,Table4[Vendredi],Table4[[Début]:[Fin]],"")</f>
        <v/>
      </c>
      <c r="J4" s="2" t="str" cm="1">
        <f t="array" ref="J4">_xlfn.XLOOKUP(I4,Table4[Vendredi],Table4[[Début]:[Fin]],"")</f>
        <v/>
      </c>
    </row>
    <row r="5" spans="1:11" x14ac:dyDescent="0.4">
      <c r="A5" t="str">
        <v>L'Horset</v>
      </c>
      <c r="B5" t="str">
        <v>Alice</v>
      </c>
      <c r="D5" s="2" t="str" cm="1">
        <f t="array" ref="D5">_xlfn.XLOOKUP(C5,Table4[Vendredi],Table4[[Début]:[Fin]],"")</f>
        <v/>
      </c>
      <c r="G5" s="2" t="str" cm="1">
        <f t="array" ref="G5">_xlfn.XLOOKUP(F5,Table4[Vendredi],Table4[[Début]:[Fin]],"")</f>
        <v/>
      </c>
      <c r="J5" s="2" t="str" cm="1">
        <f t="array" ref="J5">_xlfn.XLOOKUP(I5,Table4[Vendredi],Table4[[Début]:[Fin]],"")</f>
        <v/>
      </c>
    </row>
    <row r="6" spans="1:11" x14ac:dyDescent="0.4">
      <c r="A6" t="str">
        <v>Ledru</v>
      </c>
      <c r="B6" t="str">
        <v>Ana-Lou</v>
      </c>
      <c r="D6" s="2" t="str" cm="1">
        <f t="array" ref="D6">_xlfn.XLOOKUP(C6,Table4[Vendredi],Table4[[Début]:[Fin]],"")</f>
        <v/>
      </c>
      <c r="G6" s="2" t="str" cm="1">
        <f t="array" ref="G6">_xlfn.XLOOKUP(F6,Table4[Vendredi],Table4[[Début]:[Fin]],"")</f>
        <v/>
      </c>
      <c r="J6" s="2" t="str" cm="1">
        <f t="array" ref="J6">_xlfn.XLOOKUP(I6,Table4[Vendredi],Table4[[Début]:[Fin]],"")</f>
        <v/>
      </c>
    </row>
    <row r="7" spans="1:11" x14ac:dyDescent="0.4">
      <c r="A7" t="str">
        <v>Pero</v>
      </c>
      <c r="B7" t="str">
        <v>Andy</v>
      </c>
      <c r="D7" s="2" t="str" cm="1">
        <f t="array" ref="D7">_xlfn.XLOOKUP(C7,Table4[Vendredi],Table4[[Début]:[Fin]],"")</f>
        <v/>
      </c>
      <c r="G7" s="2" t="str" cm="1">
        <f t="array" ref="G7">_xlfn.XLOOKUP(F7,Table4[Vendredi],Table4[[Début]:[Fin]],"")</f>
        <v/>
      </c>
      <c r="J7" s="2" t="str" cm="1">
        <f t="array" ref="J7">_xlfn.XLOOKUP(I7,Table4[Vendredi],Table4[[Début]:[Fin]],"")</f>
        <v/>
      </c>
    </row>
    <row r="8" spans="1:11" x14ac:dyDescent="0.4">
      <c r="A8" t="str">
        <v>Mallet</v>
      </c>
      <c r="B8" t="str">
        <v>Anna</v>
      </c>
      <c r="D8" s="2" t="str" cm="1">
        <f t="array" ref="D8">_xlfn.XLOOKUP(C8,Table4[Vendredi],Table4[[Début]:[Fin]],"")</f>
        <v/>
      </c>
      <c r="G8" s="2" t="str" cm="1">
        <f t="array" ref="G8">_xlfn.XLOOKUP(F8,Table4[Vendredi],Table4[[Début]:[Fin]],"")</f>
        <v/>
      </c>
      <c r="J8" s="2" t="str" cm="1">
        <f t="array" ref="J8">_xlfn.XLOOKUP(I8,Table4[Vendredi],Table4[[Début]:[Fin]],"")</f>
        <v/>
      </c>
    </row>
    <row r="9" spans="1:11" x14ac:dyDescent="0.4">
      <c r="A9" t="str">
        <v>Malric</v>
      </c>
      <c r="B9" t="str">
        <v>Annouk</v>
      </c>
      <c r="D9" s="2" t="str" cm="1">
        <f t="array" ref="D9">_xlfn.XLOOKUP(C9,Table4[Vendredi],Table4[[Début]:[Fin]],"")</f>
        <v/>
      </c>
      <c r="G9" s="2" t="str" cm="1">
        <f t="array" ref="G9">_xlfn.XLOOKUP(F9,Table4[Vendredi],Table4[[Début]:[Fin]],"")</f>
        <v/>
      </c>
      <c r="J9" s="2" t="str" cm="1">
        <f t="array" ref="J9">_xlfn.XLOOKUP(I9,Table4[Vendredi],Table4[[Début]:[Fin]],"")</f>
        <v/>
      </c>
    </row>
    <row r="10" spans="1:11" x14ac:dyDescent="0.4">
      <c r="A10" t="str">
        <v>Noël</v>
      </c>
      <c r="B10" t="str">
        <v>Antonin</v>
      </c>
      <c r="D10" s="2" t="str" cm="1">
        <f t="array" ref="D10">_xlfn.XLOOKUP(C10,Table4[Vendredi],Table4[[Début]:[Fin]],"")</f>
        <v/>
      </c>
      <c r="G10" s="2" t="str" cm="1">
        <f t="array" ref="G10">_xlfn.XLOOKUP(F10,Table4[Vendredi],Table4[[Début]:[Fin]],"")</f>
        <v/>
      </c>
      <c r="J10" s="2" t="str" cm="1">
        <f t="array" ref="J10">_xlfn.XLOOKUP(I10,Table4[Vendredi],Table4[[Début]:[Fin]],"")</f>
        <v/>
      </c>
    </row>
    <row r="11" spans="1:11" x14ac:dyDescent="0.4">
      <c r="A11" t="str">
        <v>Tessier</v>
      </c>
      <c r="B11" t="str">
        <v>Arsène</v>
      </c>
      <c r="D11" s="2" t="str" cm="1">
        <f t="array" ref="D11">_xlfn.XLOOKUP(C11,Table4[Vendredi],Table4[[Début]:[Fin]],"")</f>
        <v/>
      </c>
      <c r="G11" s="2" t="str" cm="1">
        <f t="array" ref="G11">_xlfn.XLOOKUP(F11,Table4[Vendredi],Table4[[Début]:[Fin]],"")</f>
        <v/>
      </c>
      <c r="J11" s="2" t="str" cm="1">
        <f t="array" ref="J11">_xlfn.XLOOKUP(I11,Table4[Vendredi],Table4[[Début]:[Fin]],"")</f>
        <v/>
      </c>
    </row>
    <row r="12" spans="1:11" x14ac:dyDescent="0.4">
      <c r="A12" t="str">
        <v>Uldry</v>
      </c>
      <c r="B12" t="str">
        <v>Arthur</v>
      </c>
      <c r="D12" s="2" t="str" cm="1">
        <f t="array" ref="D12">_xlfn.XLOOKUP(C12,Table4[Vendredi],Table4[[Début]:[Fin]],"")</f>
        <v/>
      </c>
      <c r="G12" s="2" t="str" cm="1">
        <f t="array" ref="G12">_xlfn.XLOOKUP(F12,Table4[Vendredi],Table4[[Début]:[Fin]],"")</f>
        <v/>
      </c>
      <c r="J12" s="2" t="str" cm="1">
        <f t="array" ref="J12">_xlfn.XLOOKUP(I12,Table4[Vendredi],Table4[[Début]:[Fin]],"")</f>
        <v/>
      </c>
    </row>
    <row r="13" spans="1:11" x14ac:dyDescent="0.4">
      <c r="A13" t="str">
        <v>Marchand</v>
      </c>
      <c r="B13" t="str">
        <v>Athénaé</v>
      </c>
      <c r="D13" s="2" t="str" cm="1">
        <f t="array" ref="D13">_xlfn.XLOOKUP(C13,Table4[Vendredi],Table4[[Début]:[Fin]],"")</f>
        <v/>
      </c>
      <c r="G13" s="2" t="str" cm="1">
        <f t="array" ref="G13">_xlfn.XLOOKUP(F13,Table4[Vendredi],Table4[[Début]:[Fin]],"")</f>
        <v/>
      </c>
      <c r="J13" s="2" t="str" cm="1">
        <f t="array" ref="J13">_xlfn.XLOOKUP(I13,Table4[Vendredi],Table4[[Début]:[Fin]],"")</f>
        <v/>
      </c>
    </row>
    <row r="14" spans="1:11" x14ac:dyDescent="0.4">
      <c r="A14" t="str">
        <v>Magerand</v>
      </c>
      <c r="B14" t="str">
        <v>Auxence</v>
      </c>
      <c r="D14" s="2" t="str" cm="1">
        <f t="array" ref="D14">_xlfn.XLOOKUP(C14,Table4[Vendredi],Table4[[Début]:[Fin]],"")</f>
        <v/>
      </c>
      <c r="G14" s="2" t="str" cm="1">
        <f t="array" ref="G14">_xlfn.XLOOKUP(F14,Table4[Vendredi],Table4[[Début]:[Fin]],"")</f>
        <v/>
      </c>
      <c r="J14" s="2" t="str" cm="1">
        <f t="array" ref="J14">_xlfn.XLOOKUP(I14,Table4[Vendredi],Table4[[Début]:[Fin]],"")</f>
        <v/>
      </c>
    </row>
    <row r="15" spans="1:11" x14ac:dyDescent="0.4">
      <c r="A15" t="str">
        <v>Baruch</v>
      </c>
      <c r="B15" t="str">
        <v>Ava</v>
      </c>
      <c r="D15" s="2" t="str" cm="1">
        <f t="array" ref="D15">_xlfn.XLOOKUP(C15,Table4[Vendredi],Table4[[Début]:[Fin]],"")</f>
        <v/>
      </c>
      <c r="G15" s="2" t="str" cm="1">
        <f t="array" ref="G15">_xlfn.XLOOKUP(F15,Table4[Vendredi],Table4[[Début]:[Fin]],"")</f>
        <v/>
      </c>
      <c r="J15" s="2" t="str" cm="1">
        <f t="array" ref="J15">_xlfn.XLOOKUP(I15,Table4[Vendredi],Table4[[Début]:[Fin]],"")</f>
        <v/>
      </c>
    </row>
    <row r="16" spans="1:11" x14ac:dyDescent="0.4">
      <c r="A16" t="str">
        <v>Detrain</v>
      </c>
      <c r="B16" t="str">
        <v>Benoît</v>
      </c>
      <c r="D16" s="2" t="str" cm="1">
        <f t="array" ref="D16">_xlfn.XLOOKUP(C16,Table4[Vendredi],Table4[[Début]:[Fin]],"")</f>
        <v/>
      </c>
      <c r="G16" s="2" t="str" cm="1">
        <f t="array" ref="G16">_xlfn.XLOOKUP(F16,Table4[Vendredi],Table4[[Début]:[Fin]],"")</f>
        <v/>
      </c>
      <c r="J16" s="2" t="str" cm="1">
        <f t="array" ref="J16">_xlfn.XLOOKUP(I16,Table4[Vendredi],Table4[[Début]:[Fin]],"")</f>
        <v/>
      </c>
    </row>
    <row r="17" spans="1:10" x14ac:dyDescent="0.4">
      <c r="A17" t="str">
        <v>Meige</v>
      </c>
      <c r="B17" t="str">
        <v>Corentin</v>
      </c>
      <c r="D17" s="2" t="str" cm="1">
        <f t="array" ref="D17">_xlfn.XLOOKUP(C17,Table4[Vendredi],Table4[[Début]:[Fin]],"")</f>
        <v/>
      </c>
      <c r="G17" s="2" t="str" cm="1">
        <f t="array" ref="G17">_xlfn.XLOOKUP(F17,Table4[Vendredi],Table4[[Début]:[Fin]],"")</f>
        <v/>
      </c>
      <c r="J17" s="2" t="str" cm="1">
        <f t="array" ref="J17">_xlfn.XLOOKUP(I17,Table4[Vendredi],Table4[[Début]:[Fin]],"")</f>
        <v/>
      </c>
    </row>
    <row r="18" spans="1:10" x14ac:dyDescent="0.4">
      <c r="A18" t="str">
        <v>De Filippo</v>
      </c>
      <c r="B18" t="str">
        <v>Emma</v>
      </c>
      <c r="D18" s="2" t="str" cm="1">
        <f t="array" ref="D18">_xlfn.XLOOKUP(C18,Table4[Vendredi],Table4[[Début]:[Fin]],"")</f>
        <v/>
      </c>
      <c r="G18" s="2" t="str" cm="1">
        <f t="array" ref="G18">_xlfn.XLOOKUP(F18,Table4[Vendredi],Table4[[Début]:[Fin]],"")</f>
        <v/>
      </c>
      <c r="J18" s="2" t="str" cm="1">
        <f t="array" ref="J18">_xlfn.XLOOKUP(I18,Table4[Vendredi],Table4[[Début]:[Fin]],"")</f>
        <v/>
      </c>
    </row>
    <row r="19" spans="1:10" x14ac:dyDescent="0.4">
      <c r="A19" t="str">
        <v>Prouvost</v>
      </c>
      <c r="B19" t="str">
        <v>Eugénie</v>
      </c>
      <c r="D19" s="2" t="str" cm="1">
        <f t="array" ref="D19">_xlfn.XLOOKUP(C19,Table4[Vendredi],Table4[[Début]:[Fin]],"")</f>
        <v/>
      </c>
      <c r="G19" s="2" t="str" cm="1">
        <f t="array" ref="G19">_xlfn.XLOOKUP(F19,Table4[Vendredi],Table4[[Début]:[Fin]],"")</f>
        <v/>
      </c>
      <c r="J19" s="2" t="str" cm="1">
        <f t="array" ref="J19">_xlfn.XLOOKUP(I19,Table4[Vendredi],Table4[[Début]:[Fin]],"")</f>
        <v/>
      </c>
    </row>
    <row r="20" spans="1:10" x14ac:dyDescent="0.4">
      <c r="A20" t="str">
        <v xml:space="preserve">Rakotonandrasana </v>
      </c>
      <c r="B20" t="str">
        <v>Iris</v>
      </c>
      <c r="D20" s="2" t="str" cm="1">
        <f t="array" ref="D20">_xlfn.XLOOKUP(C20,Table4[Vendredi],Table4[[Début]:[Fin]],"")</f>
        <v/>
      </c>
      <c r="G20" s="2" t="str" cm="1">
        <f t="array" ref="G20">_xlfn.XLOOKUP(F20,Table4[Vendredi],Table4[[Début]:[Fin]],"")</f>
        <v/>
      </c>
      <c r="J20" s="2" t="str" cm="1">
        <f t="array" ref="J20">_xlfn.XLOOKUP(I20,Table4[Vendredi],Table4[[Début]:[Fin]],"")</f>
        <v/>
      </c>
    </row>
    <row r="21" spans="1:10" x14ac:dyDescent="0.4">
      <c r="A21" t="str">
        <v>Bürgisser</v>
      </c>
      <c r="B21" t="str">
        <v>Jamilah</v>
      </c>
      <c r="D21" s="2" t="str" cm="1">
        <f t="array" ref="D21">_xlfn.XLOOKUP(C21,Table4[Vendredi],Table4[[Début]:[Fin]],"")</f>
        <v/>
      </c>
      <c r="G21" s="2" t="str" cm="1">
        <f t="array" ref="G21">_xlfn.XLOOKUP(F21,Table4[Vendredi],Table4[[Début]:[Fin]],"")</f>
        <v/>
      </c>
      <c r="J21" s="2" t="str" cm="1">
        <f t="array" ref="J21">_xlfn.XLOOKUP(I21,Table4[Vendredi],Table4[[Début]:[Fin]],"")</f>
        <v/>
      </c>
    </row>
    <row r="22" spans="1:10" x14ac:dyDescent="0.4">
      <c r="A22" t="str">
        <v>Ruscio</v>
      </c>
      <c r="B22" t="str">
        <v>Jolan</v>
      </c>
      <c r="D22" s="2" t="str" cm="1">
        <f t="array" ref="D22">_xlfn.XLOOKUP(C22,Table4[Vendredi],Table4[[Début]:[Fin]],"")</f>
        <v/>
      </c>
      <c r="G22" s="2" t="str" cm="1">
        <f t="array" ref="G22">_xlfn.XLOOKUP(F22,Table4[Vendredi],Table4[[Début]:[Fin]],"")</f>
        <v/>
      </c>
      <c r="J22" s="2" t="str" cm="1">
        <f t="array" ref="J22">_xlfn.XLOOKUP(I22,Table4[Vendredi],Table4[[Début]:[Fin]],"")</f>
        <v/>
      </c>
    </row>
    <row r="23" spans="1:10" x14ac:dyDescent="0.4">
      <c r="A23" t="str">
        <v>Wuilloud</v>
      </c>
      <c r="B23" t="str">
        <v xml:space="preserve">Jonas </v>
      </c>
      <c r="D23" s="2" t="str" cm="1">
        <f t="array" ref="D23">_xlfn.XLOOKUP(C23,Table4[Vendredi],Table4[[Début]:[Fin]],"")</f>
        <v/>
      </c>
      <c r="G23" s="2" t="str" cm="1">
        <f t="array" ref="G23">_xlfn.XLOOKUP(F23,Table4[Vendredi],Table4[[Début]:[Fin]],"")</f>
        <v/>
      </c>
      <c r="J23" s="2" t="str" cm="1">
        <f t="array" ref="J23">_xlfn.XLOOKUP(I23,Table4[Vendredi],Table4[[Début]:[Fin]],"")</f>
        <v/>
      </c>
    </row>
    <row r="24" spans="1:10" x14ac:dyDescent="0.4">
      <c r="A24" t="str">
        <v>Pirolley</v>
      </c>
      <c r="B24" t="str">
        <v>Jules</v>
      </c>
      <c r="D24" s="2" t="str" cm="1">
        <f t="array" ref="D24">_xlfn.XLOOKUP(C24,Table4[Vendredi],Table4[[Début]:[Fin]],"")</f>
        <v/>
      </c>
      <c r="G24" s="2" t="str" cm="1">
        <f t="array" ref="G24">_xlfn.XLOOKUP(F24,Table4[Vendredi],Table4[[Début]:[Fin]],"")</f>
        <v/>
      </c>
      <c r="J24" s="2" t="str" cm="1">
        <f t="array" ref="J24">_xlfn.XLOOKUP(I24,Table4[Vendredi],Table4[[Début]:[Fin]],"")</f>
        <v/>
      </c>
    </row>
    <row r="25" spans="1:10" x14ac:dyDescent="0.4">
      <c r="A25" t="str">
        <v>Chavaillaz</v>
      </c>
      <c r="B25" t="str">
        <v>Julie</v>
      </c>
      <c r="D25" s="2" t="str" cm="1">
        <f t="array" ref="D25">_xlfn.XLOOKUP(C25,Table4[Vendredi],Table4[[Début]:[Fin]],"")</f>
        <v/>
      </c>
      <c r="G25" s="2" t="str" cm="1">
        <f t="array" ref="G25">_xlfn.XLOOKUP(F25,Table4[Vendredi],Table4[[Début]:[Fin]],"")</f>
        <v/>
      </c>
      <c r="J25" s="2" t="str" cm="1">
        <f t="array" ref="J25">_xlfn.XLOOKUP(I25,Table4[Vendredi],Table4[[Début]:[Fin]],"")</f>
        <v/>
      </c>
    </row>
    <row r="26" spans="1:10" x14ac:dyDescent="0.4">
      <c r="A26" t="str">
        <v>Oeschger</v>
      </c>
      <c r="B26" t="str">
        <v>Kristel</v>
      </c>
      <c r="D26" s="2" t="str" cm="1">
        <f t="array" ref="D26">_xlfn.XLOOKUP(C26,Table4[Vendredi],Table4[[Début]:[Fin]],"")</f>
        <v/>
      </c>
      <c r="G26" s="2" t="str" cm="1">
        <f t="array" ref="G26">_xlfn.XLOOKUP(F26,Table4[Vendredi],Table4[[Début]:[Fin]],"")</f>
        <v/>
      </c>
      <c r="J26" s="2" t="str" cm="1">
        <f t="array" ref="J26">_xlfn.XLOOKUP(I26,Table4[Vendredi],Table4[[Début]:[Fin]],"")</f>
        <v/>
      </c>
    </row>
    <row r="27" spans="1:10" x14ac:dyDescent="0.4">
      <c r="A27" t="str">
        <v>Baltzinger</v>
      </c>
      <c r="B27" t="str">
        <v>Léa</v>
      </c>
      <c r="D27" s="2" t="str" cm="1">
        <f t="array" ref="D27">_xlfn.XLOOKUP(C27,Table4[Vendredi],Table4[[Début]:[Fin]],"")</f>
        <v/>
      </c>
      <c r="G27" s="2" t="str" cm="1">
        <f t="array" ref="G27">_xlfn.XLOOKUP(F27,Table4[Vendredi],Table4[[Début]:[Fin]],"")</f>
        <v/>
      </c>
      <c r="J27" s="2" t="str" cm="1">
        <f t="array" ref="J27">_xlfn.XLOOKUP(I27,Table4[Vendredi],Table4[[Début]:[Fin]],"")</f>
        <v/>
      </c>
    </row>
    <row r="28" spans="1:10" x14ac:dyDescent="0.4">
      <c r="A28" t="str">
        <v>Chambaz</v>
      </c>
      <c r="B28" t="str">
        <v>Léa</v>
      </c>
      <c r="D28" s="2" t="str" cm="1">
        <f t="array" ref="D28">_xlfn.XLOOKUP(C28,Table4[Vendredi],Table4[[Début]:[Fin]],"")</f>
        <v/>
      </c>
      <c r="G28" s="2" t="str" cm="1">
        <f t="array" ref="G28">_xlfn.XLOOKUP(F28,Table4[Vendredi],Table4[[Début]:[Fin]],"")</f>
        <v/>
      </c>
      <c r="J28" s="2" t="str" cm="1">
        <f t="array" ref="J28">_xlfn.XLOOKUP(I28,Table4[Vendredi],Table4[[Début]:[Fin]],"")</f>
        <v/>
      </c>
    </row>
    <row r="29" spans="1:10" x14ac:dyDescent="0.4">
      <c r="A29" t="str">
        <v>Jaquet</v>
      </c>
      <c r="B29" t="str">
        <v>Lisa</v>
      </c>
      <c r="D29" s="2" t="str" cm="1">
        <f t="array" ref="D29">_xlfn.XLOOKUP(C29,Table4[Vendredi],Table4[[Début]:[Fin]],"")</f>
        <v/>
      </c>
      <c r="G29" s="2" t="str" cm="1">
        <f t="array" ref="G29">_xlfn.XLOOKUP(F29,Table4[Vendredi],Table4[[Début]:[Fin]],"")</f>
        <v/>
      </c>
      <c r="J29" s="2" t="str" cm="1">
        <f t="array" ref="J29">_xlfn.XLOOKUP(I29,Table4[Vendredi],Table4[[Début]:[Fin]],"")</f>
        <v/>
      </c>
    </row>
    <row r="30" spans="1:10" x14ac:dyDescent="0.4">
      <c r="A30" t="str">
        <v>Magnin</v>
      </c>
      <c r="B30" t="str">
        <v>Lisa</v>
      </c>
      <c r="D30" s="2" t="str" cm="1">
        <f t="array" ref="D30">_xlfn.XLOOKUP(C30,Table4[Vendredi],Table4[[Début]:[Fin]],"")</f>
        <v/>
      </c>
      <c r="G30" s="2" t="str" cm="1">
        <f t="array" ref="G30">_xlfn.XLOOKUP(F30,Table4[Vendredi],Table4[[Début]:[Fin]],"")</f>
        <v/>
      </c>
      <c r="J30" s="2" t="str" cm="1">
        <f t="array" ref="J30">_xlfn.XLOOKUP(I30,Table4[Vendredi],Table4[[Début]:[Fin]],"")</f>
        <v/>
      </c>
    </row>
    <row r="31" spans="1:10" x14ac:dyDescent="0.4">
      <c r="A31" t="str">
        <v>Cardis</v>
      </c>
      <c r="B31" t="str">
        <v>Louis</v>
      </c>
      <c r="D31" s="2" t="str" cm="1">
        <f t="array" ref="D31">_xlfn.XLOOKUP(C31,Table4[Vendredi],Table4[[Début]:[Fin]],"")</f>
        <v/>
      </c>
      <c r="G31" s="2" t="str" cm="1">
        <f t="array" ref="G31">_xlfn.XLOOKUP(F31,Table4[Vendredi],Table4[[Début]:[Fin]],"")</f>
        <v/>
      </c>
      <c r="J31" s="2" t="str" cm="1">
        <f t="array" ref="J31">_xlfn.XLOOKUP(I31,Table4[Vendredi],Table4[[Début]:[Fin]],"")</f>
        <v/>
      </c>
    </row>
    <row r="32" spans="1:10" x14ac:dyDescent="0.4">
      <c r="A32" t="str">
        <v>Post</v>
      </c>
      <c r="B32" t="str">
        <v>Louis</v>
      </c>
      <c r="D32" s="2" t="str" cm="1">
        <f t="array" ref="D32">_xlfn.XLOOKUP(C32,Table4[Vendredi],Table4[[Début]:[Fin]],"")</f>
        <v/>
      </c>
      <c r="G32" s="2" t="str" cm="1">
        <f t="array" ref="G32">_xlfn.XLOOKUP(F32,Table4[Vendredi],Table4[[Début]:[Fin]],"")</f>
        <v/>
      </c>
      <c r="J32" s="2" t="str" cm="1">
        <f t="array" ref="J32">_xlfn.XLOOKUP(I32,Table4[Vendredi],Table4[[Début]:[Fin]],"")</f>
        <v/>
      </c>
    </row>
    <row r="33" spans="1:10" x14ac:dyDescent="0.4">
      <c r="A33" t="str">
        <v>Blanchard</v>
      </c>
      <c r="B33" t="str">
        <v>Louise</v>
      </c>
      <c r="D33" s="2" t="str" cm="1">
        <f t="array" ref="D33">_xlfn.XLOOKUP(C33,Table4[Vendredi],Table4[[Début]:[Fin]],"")</f>
        <v/>
      </c>
      <c r="G33" s="2" t="str" cm="1">
        <f t="array" ref="G33">_xlfn.XLOOKUP(F33,Table4[Vendredi],Table4[[Début]:[Fin]],"")</f>
        <v/>
      </c>
      <c r="J33" s="2" t="str" cm="1">
        <f t="array" ref="J33">_xlfn.XLOOKUP(I33,Table4[Vendredi],Table4[[Début]:[Fin]],"")</f>
        <v/>
      </c>
    </row>
    <row r="34" spans="1:10" x14ac:dyDescent="0.4">
      <c r="A34" t="str">
        <v>Chastroux</v>
      </c>
      <c r="B34" t="str">
        <v>Lucas</v>
      </c>
      <c r="D34" s="2" t="str" cm="1">
        <f t="array" ref="D34">_xlfn.XLOOKUP(C34,Table4[Vendredi],Table4[[Début]:[Fin]],"")</f>
        <v/>
      </c>
      <c r="G34" s="2" t="str" cm="1">
        <f t="array" ref="G34">_xlfn.XLOOKUP(F34,Table4[Vendredi],Table4[[Début]:[Fin]],"")</f>
        <v/>
      </c>
      <c r="J34" s="2" t="str" cm="1">
        <f t="array" ref="J34">_xlfn.XLOOKUP(I34,Table4[Vendredi],Table4[[Début]:[Fin]],"")</f>
        <v/>
      </c>
    </row>
    <row r="35" spans="1:10" x14ac:dyDescent="0.4">
      <c r="A35" t="str">
        <v>Meyer</v>
      </c>
      <c r="B35" t="str">
        <v>Lucie</v>
      </c>
      <c r="D35" s="2" t="str" cm="1">
        <f t="array" ref="D35">_xlfn.XLOOKUP(C35,Table4[Vendredi],Table4[[Début]:[Fin]],"")</f>
        <v/>
      </c>
      <c r="G35" s="2" t="str" cm="1">
        <f t="array" ref="G35">_xlfn.XLOOKUP(F35,Table4[Vendredi],Table4[[Début]:[Fin]],"")</f>
        <v/>
      </c>
      <c r="J35" s="2" t="str" cm="1">
        <f t="array" ref="J35">_xlfn.XLOOKUP(I35,Table4[Vendredi],Table4[[Début]:[Fin]],"")</f>
        <v/>
      </c>
    </row>
    <row r="36" spans="1:10" x14ac:dyDescent="0.4">
      <c r="A36" t="str">
        <v>Ménétrey</v>
      </c>
      <c r="B36" t="str">
        <v>Maëlan</v>
      </c>
      <c r="D36" s="2" t="str" cm="1">
        <f t="array" ref="D36">_xlfn.XLOOKUP(C36,Table4[Vendredi],Table4[[Début]:[Fin]],"")</f>
        <v/>
      </c>
      <c r="G36" s="2" t="str" cm="1">
        <f t="array" ref="G36">_xlfn.XLOOKUP(F36,Table4[Vendredi],Table4[[Début]:[Fin]],"")</f>
        <v/>
      </c>
      <c r="J36" s="2" t="str" cm="1">
        <f t="array" ref="J36">_xlfn.XLOOKUP(I36,Table4[Vendredi],Table4[[Début]:[Fin]],"")</f>
        <v/>
      </c>
    </row>
    <row r="37" spans="1:10" x14ac:dyDescent="0.4">
      <c r="A37" t="str">
        <v>Chambaz</v>
      </c>
      <c r="B37" t="str">
        <v>Maëlle</v>
      </c>
      <c r="D37" s="2" t="str" cm="1">
        <f t="array" ref="D37">_xlfn.XLOOKUP(C37,Table4[Vendredi],Table4[[Début]:[Fin]],"")</f>
        <v/>
      </c>
      <c r="G37" s="2" t="str" cm="1">
        <f t="array" ref="G37">_xlfn.XLOOKUP(F37,Table4[Vendredi],Table4[[Début]:[Fin]],"")</f>
        <v/>
      </c>
      <c r="J37" s="2" t="str" cm="1">
        <f t="array" ref="J37">_xlfn.XLOOKUP(I37,Table4[Vendredi],Table4[[Début]:[Fin]],"")</f>
        <v/>
      </c>
    </row>
    <row r="38" spans="1:10" x14ac:dyDescent="0.4">
      <c r="A38" t="str">
        <v>Felix</v>
      </c>
      <c r="B38" t="str">
        <v>Marius</v>
      </c>
      <c r="D38" s="2" t="str" cm="1">
        <f t="array" ref="D38">_xlfn.XLOOKUP(C38,Table4[Vendredi],Table4[[Début]:[Fin]],"")</f>
        <v/>
      </c>
      <c r="G38" s="2" t="str" cm="1">
        <f t="array" ref="G38">_xlfn.XLOOKUP(F38,Table4[Vendredi],Table4[[Début]:[Fin]],"")</f>
        <v/>
      </c>
      <c r="J38" s="2" t="str" cm="1">
        <f t="array" ref="J38">_xlfn.XLOOKUP(I38,Table4[Vendredi],Table4[[Début]:[Fin]],"")</f>
        <v/>
      </c>
    </row>
    <row r="39" spans="1:10" x14ac:dyDescent="0.4">
      <c r="A39" t="str">
        <v>Ledru</v>
      </c>
      <c r="B39" t="str">
        <v>Marot</v>
      </c>
      <c r="D39" s="2" t="str" cm="1">
        <f t="array" ref="D39">_xlfn.XLOOKUP(C39,Table4[Vendredi],Table4[[Début]:[Fin]],"")</f>
        <v/>
      </c>
      <c r="G39" s="2" t="str" cm="1">
        <f t="array" ref="G39">_xlfn.XLOOKUP(F39,Table4[Vendredi],Table4[[Début]:[Fin]],"")</f>
        <v/>
      </c>
      <c r="J39" s="2" t="str" cm="1">
        <f t="array" ref="J39">_xlfn.XLOOKUP(I39,Table4[Vendredi],Table4[[Début]:[Fin]],"")</f>
        <v/>
      </c>
    </row>
    <row r="40" spans="1:10" x14ac:dyDescent="0.4">
      <c r="A40" t="str">
        <v>Cuinet</v>
      </c>
      <c r="B40" t="str">
        <v>Mathis</v>
      </c>
      <c r="D40" s="2" t="str" cm="1">
        <f t="array" ref="D40">_xlfn.XLOOKUP(C40,Table4[Vendredi],Table4[[Début]:[Fin]],"")</f>
        <v/>
      </c>
      <c r="G40" s="2" t="str" cm="1">
        <f t="array" ref="G40">_xlfn.XLOOKUP(F40,Table4[Vendredi],Table4[[Début]:[Fin]],"")</f>
        <v/>
      </c>
      <c r="J40" s="2" t="str" cm="1">
        <f t="array" ref="J40">_xlfn.XLOOKUP(I40,Table4[Vendredi],Table4[[Début]:[Fin]],"")</f>
        <v/>
      </c>
    </row>
    <row r="41" spans="1:10" x14ac:dyDescent="0.4">
      <c r="A41" t="str">
        <v>Gavin</v>
      </c>
      <c r="B41" t="str">
        <v>Matteo</v>
      </c>
      <c r="D41" s="2" t="str" cm="1">
        <f t="array" ref="D41">_xlfn.XLOOKUP(C41,Table4[Vendredi],Table4[[Début]:[Fin]],"")</f>
        <v/>
      </c>
      <c r="G41" s="2" t="str" cm="1">
        <f t="array" ref="G41">_xlfn.XLOOKUP(F41,Table4[Vendredi],Table4[[Début]:[Fin]],"")</f>
        <v/>
      </c>
      <c r="J41" s="2" t="str" cm="1">
        <f t="array" ref="J41">_xlfn.XLOOKUP(I41,Table4[Vendredi],Table4[[Début]:[Fin]],"")</f>
        <v/>
      </c>
    </row>
    <row r="42" spans="1:10" x14ac:dyDescent="0.4">
      <c r="A42" t="str">
        <v>Debray</v>
      </c>
      <c r="B42" t="str">
        <v>Maxime</v>
      </c>
      <c r="D42" s="2" t="str" cm="1">
        <f t="array" ref="D42">_xlfn.XLOOKUP(C42,Table4[Vendredi],Table4[[Début]:[Fin]],"")</f>
        <v/>
      </c>
      <c r="G42" s="2" t="str" cm="1">
        <f t="array" ref="G42">_xlfn.XLOOKUP(F42,Table4[Vendredi],Table4[[Début]:[Fin]],"")</f>
        <v/>
      </c>
      <c r="J42" s="2" t="str" cm="1">
        <f t="array" ref="J42">_xlfn.XLOOKUP(I42,Table4[Vendredi],Table4[[Début]:[Fin]],"")</f>
        <v/>
      </c>
    </row>
    <row r="43" spans="1:10" x14ac:dyDescent="0.4">
      <c r="A43" t="str">
        <v>Corbelli</v>
      </c>
      <c r="B43" t="str">
        <v>Maya</v>
      </c>
      <c r="D43" s="2" t="str" cm="1">
        <f t="array" ref="D43">_xlfn.XLOOKUP(C43,Table4[Vendredi],Table4[[Début]:[Fin]],"")</f>
        <v/>
      </c>
      <c r="G43" s="2" t="str" cm="1">
        <f t="array" ref="G43">_xlfn.XLOOKUP(F43,Table4[Vendredi],Table4[[Début]:[Fin]],"")</f>
        <v/>
      </c>
      <c r="J43" s="2" t="str" cm="1">
        <f t="array" ref="J43">_xlfn.XLOOKUP(I43,Table4[Vendredi],Table4[[Début]:[Fin]],"")</f>
        <v/>
      </c>
    </row>
    <row r="44" spans="1:10" x14ac:dyDescent="0.4">
      <c r="A44" t="str">
        <v>Pasche</v>
      </c>
      <c r="B44" t="str">
        <v>Mickaël</v>
      </c>
      <c r="D44" s="2" t="str" cm="1">
        <f t="array" ref="D44">_xlfn.XLOOKUP(C44,Table4[Vendredi],Table4[[Début]:[Fin]],"")</f>
        <v/>
      </c>
      <c r="G44" s="2" t="str" cm="1">
        <f t="array" ref="G44">_xlfn.XLOOKUP(F44,Table4[Vendredi],Table4[[Début]:[Fin]],"")</f>
        <v/>
      </c>
      <c r="J44" s="2" t="str" cm="1">
        <f t="array" ref="J44">_xlfn.XLOOKUP(I44,Table4[Vendredi],Table4[[Début]:[Fin]],"")</f>
        <v/>
      </c>
    </row>
    <row r="45" spans="1:10" x14ac:dyDescent="0.4">
      <c r="A45" t="str">
        <v>Ménard</v>
      </c>
      <c r="B45" t="str">
        <v>Mireille</v>
      </c>
      <c r="D45" s="2" t="str" cm="1">
        <f t="array" ref="D45">_xlfn.XLOOKUP(C45,Table4[Vendredi],Table4[[Début]:[Fin]],"")</f>
        <v/>
      </c>
      <c r="G45" s="2" t="str" cm="1">
        <f t="array" ref="G45">_xlfn.XLOOKUP(F45,Table4[Vendredi],Table4[[Début]:[Fin]],"")</f>
        <v/>
      </c>
      <c r="J45" s="2" t="str" cm="1">
        <f t="array" ref="J45">_xlfn.XLOOKUP(I45,Table4[Vendredi],Table4[[Début]:[Fin]],"")</f>
        <v/>
      </c>
    </row>
    <row r="46" spans="1:10" x14ac:dyDescent="0.4">
      <c r="A46" t="str">
        <v>Fargues</v>
      </c>
      <c r="B46" t="str">
        <v>Morgana</v>
      </c>
      <c r="D46" s="2" t="str" cm="1">
        <f t="array" ref="D46">_xlfn.XLOOKUP(C46,Table4[Vendredi],Table4[[Début]:[Fin]],"")</f>
        <v/>
      </c>
      <c r="G46" s="2" t="str" cm="1">
        <f t="array" ref="G46">_xlfn.XLOOKUP(F46,Table4[Vendredi],Table4[[Début]:[Fin]],"")</f>
        <v/>
      </c>
      <c r="J46" s="2" t="str" cm="1">
        <f t="array" ref="J46">_xlfn.XLOOKUP(I46,Table4[Vendredi],Table4[[Début]:[Fin]],"")</f>
        <v/>
      </c>
    </row>
    <row r="47" spans="1:10" x14ac:dyDescent="0.4">
      <c r="A47" t="str">
        <v>Scyboz (Lambelet)</v>
      </c>
      <c r="B47" t="str">
        <v>Morgane</v>
      </c>
      <c r="D47" s="2" t="str" cm="1">
        <f t="array" ref="D47">_xlfn.XLOOKUP(C47,Table4[Vendredi],Table4[[Début]:[Fin]],"")</f>
        <v/>
      </c>
      <c r="G47" s="2" t="str" cm="1">
        <f t="array" ref="G47">_xlfn.XLOOKUP(F47,Table4[Vendredi],Table4[[Début]:[Fin]],"")</f>
        <v/>
      </c>
      <c r="J47" s="2" t="str" cm="1">
        <f t="array" ref="J47">_xlfn.XLOOKUP(I47,Table4[Vendredi],Table4[[Début]:[Fin]],"")</f>
        <v/>
      </c>
    </row>
    <row r="48" spans="1:10" x14ac:dyDescent="0.4">
      <c r="A48" t="str">
        <v>Koux</v>
      </c>
      <c r="B48" t="str">
        <v>Nathalia</v>
      </c>
      <c r="D48" s="2" t="str" cm="1">
        <f t="array" ref="D48">_xlfn.XLOOKUP(C48,Table4[Vendredi],Table4[[Début]:[Fin]],"")</f>
        <v/>
      </c>
      <c r="G48" s="2" t="str" cm="1">
        <f t="array" ref="G48">_xlfn.XLOOKUP(F48,Table4[Vendredi],Table4[[Début]:[Fin]],"")</f>
        <v/>
      </c>
      <c r="J48" s="2" t="str" cm="1">
        <f t="array" ref="J48">_xlfn.XLOOKUP(I48,Table4[Vendredi],Table4[[Début]:[Fin]],"")</f>
        <v/>
      </c>
    </row>
    <row r="49" spans="1:10" x14ac:dyDescent="0.4">
      <c r="A49" t="str">
        <v>Cherpillod</v>
      </c>
      <c r="B49" t="str">
        <v>Noah</v>
      </c>
      <c r="D49" s="2" t="str" cm="1">
        <f t="array" ref="D49">_xlfn.XLOOKUP(C49,Table4[Vendredi],Table4[[Début]:[Fin]],"")</f>
        <v/>
      </c>
      <c r="G49" s="2" t="str" cm="1">
        <f t="array" ref="G49">_xlfn.XLOOKUP(F49,Table4[Vendredi],Table4[[Début]:[Fin]],"")</f>
        <v/>
      </c>
      <c r="J49" s="2" t="str" cm="1">
        <f t="array" ref="J49">_xlfn.XLOOKUP(I49,Table4[Vendredi],Table4[[Début]:[Fin]],"")</f>
        <v/>
      </c>
    </row>
    <row r="50" spans="1:10" x14ac:dyDescent="0.4">
      <c r="A50" t="str">
        <v>Chambaz</v>
      </c>
      <c r="B50" t="str">
        <v>Patrick</v>
      </c>
      <c r="D50" s="2" t="str" cm="1">
        <f t="array" ref="D50">_xlfn.XLOOKUP(C50,Table4[Vendredi],Table4[[Début]:[Fin]],"")</f>
        <v/>
      </c>
      <c r="G50" s="2" t="str" cm="1">
        <f t="array" ref="G50">_xlfn.XLOOKUP(F50,Table4[Vendredi],Table4[[Début]:[Fin]],"")</f>
        <v/>
      </c>
      <c r="J50" s="2" t="str" cm="1">
        <f t="array" ref="J50">_xlfn.XLOOKUP(I50,Table4[Vendredi],Table4[[Début]:[Fin]],"")</f>
        <v/>
      </c>
    </row>
    <row r="51" spans="1:10" x14ac:dyDescent="0.4">
      <c r="A51" t="str">
        <v>Assaoui</v>
      </c>
      <c r="B51" t="str">
        <v>Rama</v>
      </c>
      <c r="D51" s="2" t="str" cm="1">
        <f t="array" ref="D51">_xlfn.XLOOKUP(C51,Table4[Vendredi],Table4[[Début]:[Fin]],"")</f>
        <v/>
      </c>
      <c r="G51" s="2" t="str" cm="1">
        <f t="array" ref="G51">_xlfn.XLOOKUP(F51,Table4[Vendredi],Table4[[Début]:[Fin]],"")</f>
        <v/>
      </c>
      <c r="J51" s="2" t="str" cm="1">
        <f t="array" ref="J51">_xlfn.XLOOKUP(I51,Table4[Vendredi],Table4[[Début]:[Fin]],"")</f>
        <v/>
      </c>
    </row>
    <row r="52" spans="1:10" x14ac:dyDescent="0.4">
      <c r="A52" t="str">
        <v>Lacroze</v>
      </c>
      <c r="B52" t="str">
        <v>Raphaël</v>
      </c>
      <c r="D52" s="2" t="str" cm="1">
        <f t="array" ref="D52">_xlfn.XLOOKUP(C52,Table4[Vendredi],Table4[[Début]:[Fin]],"")</f>
        <v/>
      </c>
      <c r="G52" s="2" t="str" cm="1">
        <f t="array" ref="G52">_xlfn.XLOOKUP(F52,Table4[Vendredi],Table4[[Début]:[Fin]],"")</f>
        <v/>
      </c>
      <c r="J52" s="2" t="str" cm="1">
        <f t="array" ref="J52">_xlfn.XLOOKUP(I52,Table4[Vendredi],Table4[[Début]:[Fin]],"")</f>
        <v/>
      </c>
    </row>
    <row r="53" spans="1:10" x14ac:dyDescent="0.4">
      <c r="A53" t="str">
        <v>Neidhart</v>
      </c>
      <c r="B53" t="str">
        <v>Raphaëlle</v>
      </c>
      <c r="D53" s="2" t="str" cm="1">
        <f t="array" ref="D53">_xlfn.XLOOKUP(C53,Table4[Vendredi],Table4[[Début]:[Fin]],"")</f>
        <v/>
      </c>
      <c r="G53" s="2" t="str" cm="1">
        <f t="array" ref="G53">_xlfn.XLOOKUP(F53,Table4[Vendredi],Table4[[Début]:[Fin]],"")</f>
        <v/>
      </c>
      <c r="J53" s="2" t="str" cm="1">
        <f t="array" ref="J53">_xlfn.XLOOKUP(I53,Table4[Vendredi],Table4[[Début]:[Fin]],"")</f>
        <v/>
      </c>
    </row>
    <row r="54" spans="1:10" x14ac:dyDescent="0.4">
      <c r="A54" t="str">
        <v xml:space="preserve">Lanni </v>
      </c>
      <c r="B54" t="str">
        <v>Roxanne</v>
      </c>
      <c r="D54" s="2" t="str" cm="1">
        <f t="array" ref="D54">_xlfn.XLOOKUP(C54,Table4[Vendredi],Table4[[Début]:[Fin]],"")</f>
        <v/>
      </c>
      <c r="G54" s="2" t="str" cm="1">
        <f t="array" ref="G54">_xlfn.XLOOKUP(F54,Table4[Vendredi],Table4[[Début]:[Fin]],"")</f>
        <v/>
      </c>
      <c r="J54" s="2" t="str" cm="1">
        <f t="array" ref="J54">_xlfn.XLOOKUP(I54,Table4[Vendredi],Table4[[Début]:[Fin]],"")</f>
        <v/>
      </c>
    </row>
    <row r="55" spans="1:10" x14ac:dyDescent="0.4">
      <c r="A55" t="str">
        <v>Schiesser</v>
      </c>
      <c r="B55" t="str">
        <v>Sébastien</v>
      </c>
      <c r="D55" s="2" t="str" cm="1">
        <f t="array" ref="D55">_xlfn.XLOOKUP(C55,Table4[Vendredi],Table4[[Début]:[Fin]],"")</f>
        <v/>
      </c>
      <c r="G55" s="2" t="str" cm="1">
        <f t="array" ref="G55">_xlfn.XLOOKUP(F55,Table4[Vendredi],Table4[[Début]:[Fin]],"")</f>
        <v/>
      </c>
      <c r="J55" s="2" t="str" cm="1">
        <f t="array" ref="J55">_xlfn.XLOOKUP(I55,Table4[Vendredi],Table4[[Début]:[Fin]],"")</f>
        <v/>
      </c>
    </row>
    <row r="56" spans="1:10" x14ac:dyDescent="0.4">
      <c r="A56" t="str">
        <v>Lambelet</v>
      </c>
      <c r="B56" t="str">
        <v>Simon</v>
      </c>
      <c r="D56" s="2" t="str" cm="1">
        <f t="array" ref="D56">_xlfn.XLOOKUP(C56,Table4[Vendredi],Table4[[Début]:[Fin]],"")</f>
        <v/>
      </c>
      <c r="G56" s="2" t="str" cm="1">
        <f t="array" ref="G56">_xlfn.XLOOKUP(F56,Table4[Vendredi],Table4[[Début]:[Fin]],"")</f>
        <v/>
      </c>
      <c r="J56" s="2" t="str" cm="1">
        <f t="array" ref="J56">_xlfn.XLOOKUP(I56,Table4[Vendredi],Table4[[Début]:[Fin]],"")</f>
        <v/>
      </c>
    </row>
    <row r="57" spans="1:10" x14ac:dyDescent="0.4">
      <c r="A57" t="str">
        <v>Cyprien</v>
      </c>
      <c r="B57" t="str">
        <v>Theo</v>
      </c>
      <c r="D57" s="2" t="str" cm="1">
        <f t="array" ref="D57">_xlfn.XLOOKUP(C57,Table4[Vendredi],Table4[[Début]:[Fin]],"")</f>
        <v/>
      </c>
      <c r="G57" s="2" t="str" cm="1">
        <f t="array" ref="G57">_xlfn.XLOOKUP(F57,Table4[Vendredi],Table4[[Début]:[Fin]],"")</f>
        <v/>
      </c>
      <c r="J57" s="2" t="str" cm="1">
        <f t="array" ref="J57">_xlfn.XLOOKUP(I57,Table4[Vendredi],Table4[[Début]:[Fin]],"")</f>
        <v/>
      </c>
    </row>
    <row r="58" spans="1:10" x14ac:dyDescent="0.4">
      <c r="A58" t="str">
        <v>Clerici</v>
      </c>
      <c r="B58" t="str">
        <v>Thibault</v>
      </c>
      <c r="D58" s="2" t="str" cm="1">
        <f t="array" ref="D58">_xlfn.XLOOKUP(C58,Table4[Vendredi],Table4[[Début]:[Fin]],"")</f>
        <v/>
      </c>
      <c r="G58" s="2" t="str" cm="1">
        <f t="array" ref="G58">_xlfn.XLOOKUP(F58,Table4[Vendredi],Table4[[Début]:[Fin]],"")</f>
        <v/>
      </c>
      <c r="J58" s="2" t="str" cm="1">
        <f t="array" ref="J58">_xlfn.XLOOKUP(I58,Table4[Vendredi],Table4[[Début]:[Fin]],"")</f>
        <v/>
      </c>
    </row>
    <row r="59" spans="1:10" x14ac:dyDescent="0.4">
      <c r="A59" t="str">
        <v>Lagier</v>
      </c>
      <c r="B59" t="str">
        <v>Tician</v>
      </c>
      <c r="D59" s="2" t="str" cm="1">
        <f t="array" ref="D59">_xlfn.XLOOKUP(C59,Table4[Vendredi],Table4[[Début]:[Fin]],"")</f>
        <v/>
      </c>
      <c r="G59" s="2" t="str" cm="1">
        <f t="array" ref="G59">_xlfn.XLOOKUP(F59,Table4[Vendredi],Table4[[Début]:[Fin]],"")</f>
        <v/>
      </c>
      <c r="J59" s="2" t="str" cm="1">
        <f t="array" ref="J59">_xlfn.XLOOKUP(I59,Table4[Vendredi],Table4[[Début]:[Fin]],"")</f>
        <v/>
      </c>
    </row>
    <row r="60" spans="1:10" x14ac:dyDescent="0.4">
      <c r="A60" t="str">
        <v>Ménétrey</v>
      </c>
      <c r="B60" t="str">
        <v>Titouan</v>
      </c>
      <c r="D60" s="2" t="str" cm="1">
        <f t="array" ref="D60">_xlfn.XLOOKUP(C60,Table4[Vendredi],Table4[[Début]:[Fin]],"")</f>
        <v/>
      </c>
      <c r="G60" s="2" t="str" cm="1">
        <f t="array" ref="G60">_xlfn.XLOOKUP(F60,Table4[Vendredi],Table4[[Début]:[Fin]],"")</f>
        <v/>
      </c>
      <c r="J60" s="2" t="str" cm="1">
        <f t="array" ref="J60">_xlfn.XLOOKUP(I60,Table4[Vendredi],Table4[[Début]:[Fin]],"")</f>
        <v/>
      </c>
    </row>
    <row r="61" spans="1:10" x14ac:dyDescent="0.4">
      <c r="A61" t="str">
        <v>Clerici</v>
      </c>
      <c r="B61" t="str">
        <v>Tristan</v>
      </c>
      <c r="D61" s="2" t="str" cm="1">
        <f t="array" ref="D61">_xlfn.XLOOKUP(C61,Table4[Vendredi],Table4[[Début]:[Fin]],"")</f>
        <v/>
      </c>
      <c r="G61" s="2" t="str" cm="1">
        <f t="array" ref="G61">_xlfn.XLOOKUP(F61,Table4[Vendredi],Table4[[Début]:[Fin]],"")</f>
        <v/>
      </c>
      <c r="J61" s="2" t="str" cm="1">
        <f t="array" ref="J61">_xlfn.XLOOKUP(I61,Table4[Vendredi],Table4[[Début]:[Fin]],"")</f>
        <v/>
      </c>
    </row>
    <row r="62" spans="1:10" x14ac:dyDescent="0.4">
      <c r="A62" t="str">
        <v>Bally</v>
      </c>
      <c r="B62" t="str">
        <v>Yann</v>
      </c>
      <c r="D62" s="2" t="str" cm="1">
        <f t="array" ref="D62">_xlfn.XLOOKUP(C62,Table4[Vendredi],Table4[[Début]:[Fin]],"")</f>
        <v/>
      </c>
      <c r="G62" s="2" t="str" cm="1">
        <f t="array" ref="G62">_xlfn.XLOOKUP(F62,Table4[Vendredi],Table4[[Début]:[Fin]],"")</f>
        <v/>
      </c>
      <c r="J62" s="2" t="str" cm="1">
        <f t="array" ref="J62">_xlfn.XLOOKUP(I62,Table4[Vendredi],Table4[[Début]:[Fin]],"")</f>
        <v/>
      </c>
    </row>
    <row r="63" spans="1:10" x14ac:dyDescent="0.4">
      <c r="A63" t="str">
        <v>Ménétrey</v>
      </c>
      <c r="B63" t="str">
        <v>Ysatis</v>
      </c>
      <c r="D63" s="2" t="str" cm="1">
        <f t="array" ref="D63">_xlfn.XLOOKUP(C63,Table4[Vendredi],Table4[[Début]:[Fin]],"")</f>
        <v/>
      </c>
      <c r="G63" s="2" t="str" cm="1">
        <f t="array" ref="G63">_xlfn.XLOOKUP(F63,Table4[Vendredi],Table4[[Début]:[Fin]],"")</f>
        <v/>
      </c>
      <c r="J63" s="2" t="str" cm="1">
        <f t="array" ref="J63">_xlfn.XLOOKUP(I63,Table4[Vendredi],Table4[[Début]:[Fin]],"")</f>
        <v/>
      </c>
    </row>
  </sheetData>
  <sheetProtection sheet="1" objects="1" scenarios="1"/>
  <protectedRanges>
    <protectedRange sqref="F1:F1048576 I1:I1048576" name="Concerts2"/>
    <protectedRange sqref="C1:C1048576" name="Concerts1"/>
  </protectedRanges>
  <conditionalFormatting sqref="A2:XFD65">
    <cfRule type="expression" dxfId="3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DA9E57-753E-443D-9CAA-23D21A46F9BB}">
          <x14:formula1>
            <xm:f>Concerts!$J$2:$J$19</xm:f>
          </x14:formula1>
          <xm:sqref>C2:C63 F2:F63 I2:I63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425B-674F-439F-B8F6-D1D1ECED66A3}">
  <sheetPr codeName="Sheet5">
    <tabColor theme="9" tint="0.59999389629810485"/>
  </sheetPr>
  <dimension ref="A1:K64"/>
  <sheetViews>
    <sheetView workbookViewId="0">
      <selection activeCell="I2" sqref="I2"/>
    </sheetView>
  </sheetViews>
  <sheetFormatPr defaultRowHeight="14.6" x14ac:dyDescent="0.4"/>
  <cols>
    <col min="1" max="2" width="13.765625" customWidth="1"/>
    <col min="3" max="3" width="11.53515625" customWidth="1"/>
    <col min="4" max="5" width="8.765625" style="2" customWidth="1"/>
    <col min="6" max="6" width="11.53515625" customWidth="1"/>
    <col min="7" max="8" width="8.765625" style="2" customWidth="1"/>
    <col min="9" max="9" width="11.53515625" customWidth="1"/>
    <col min="10" max="11" width="8.765625" style="2" customWidth="1"/>
    <col min="12" max="12" width="2.53515625" customWidth="1"/>
  </cols>
  <sheetData>
    <row r="1" spans="1:11" s="12" customFormat="1" x14ac:dyDescent="0.4">
      <c r="A1" s="12" t="s">
        <v>0</v>
      </c>
      <c r="B1" s="12" t="s">
        <v>1</v>
      </c>
      <c r="C1" s="12" t="s">
        <v>4</v>
      </c>
      <c r="D1" s="13" t="s">
        <v>2</v>
      </c>
      <c r="E1" s="13" t="s">
        <v>3</v>
      </c>
      <c r="F1" s="12" t="s">
        <v>5</v>
      </c>
      <c r="G1" s="13" t="s">
        <v>2</v>
      </c>
      <c r="H1" s="13" t="s">
        <v>3</v>
      </c>
      <c r="I1" s="12" t="s">
        <v>116</v>
      </c>
      <c r="J1" s="13" t="s">
        <v>2</v>
      </c>
      <c r="K1" s="13" t="s">
        <v>3</v>
      </c>
    </row>
    <row r="2" spans="1:11" x14ac:dyDescent="0.4">
      <c r="A2" t="str" cm="1">
        <f t="array" ref="A2:B63">_xlfn._xlws.FILTER('[1]Bénévoles 2026 V2'!$E:$F,'[1]Bénévoles 2026 V2'!$B:$B=TRUE)</f>
        <v>Bouvet</v>
      </c>
      <c r="B2" t="str">
        <v>Agathe</v>
      </c>
      <c r="D2" s="2" t="str" cm="1">
        <f t="array" ref="D2">_xlfn.XLOOKUP(C2,Table5[Samedi],Table5[[Début]:[Fin]],"")</f>
        <v/>
      </c>
      <c r="G2" s="2" t="str" cm="1">
        <f t="array" ref="G2">_xlfn.XLOOKUP(F2,Table5[Samedi],Table5[[Début]:[Fin]],"")</f>
        <v/>
      </c>
      <c r="J2" s="2" t="str" cm="1">
        <f t="array" ref="J2">_xlfn.XLOOKUP(I2,Table5[Samedi],Table5[[Début]:[Fin]],"")</f>
        <v/>
      </c>
    </row>
    <row r="3" spans="1:11" x14ac:dyDescent="0.4">
      <c r="A3" t="str">
        <v>Bulka</v>
      </c>
      <c r="B3" t="str">
        <v>Alegria Lily</v>
      </c>
      <c r="D3" s="2" t="str" cm="1">
        <f t="array" ref="D3">_xlfn.XLOOKUP(C3,Table5[Samedi],Table5[[Début]:[Fin]],"")</f>
        <v/>
      </c>
      <c r="G3" s="2" t="str" cm="1">
        <f t="array" ref="G3">_xlfn.XLOOKUP(F3,Table5[Samedi],Table5[[Début]:[Fin]],"")</f>
        <v/>
      </c>
      <c r="J3" s="2" t="str" cm="1">
        <f t="array" ref="J3">_xlfn.XLOOKUP(I3,Table5[Samedi],Table5[[Début]:[Fin]],"")</f>
        <v/>
      </c>
    </row>
    <row r="4" spans="1:11" x14ac:dyDescent="0.4">
      <c r="A4" t="str">
        <v>Bastian</v>
      </c>
      <c r="B4" t="str">
        <v>Alexandra</v>
      </c>
      <c r="D4" s="2" t="str" cm="1">
        <f t="array" ref="D4">_xlfn.XLOOKUP(C4,Table5[Samedi],Table5[[Début]:[Fin]],"")</f>
        <v/>
      </c>
      <c r="G4" s="2" t="str" cm="1">
        <f t="array" ref="G4">_xlfn.XLOOKUP(F4,Table5[Samedi],Table5[[Début]:[Fin]],"")</f>
        <v/>
      </c>
      <c r="J4" s="2" t="str" cm="1">
        <f t="array" ref="J4">_xlfn.XLOOKUP(I4,Table5[Samedi],Table5[[Début]:[Fin]],"")</f>
        <v/>
      </c>
    </row>
    <row r="5" spans="1:11" x14ac:dyDescent="0.4">
      <c r="A5" t="str">
        <v>L'Horset</v>
      </c>
      <c r="B5" t="str">
        <v>Alice</v>
      </c>
      <c r="D5" s="2" t="str" cm="1">
        <f t="array" ref="D5">_xlfn.XLOOKUP(C5,Table5[Samedi],Table5[[Début]:[Fin]],"")</f>
        <v/>
      </c>
      <c r="G5" s="2" t="str" cm="1">
        <f t="array" ref="G5">_xlfn.XLOOKUP(F5,Table5[Samedi],Table5[[Début]:[Fin]],"")</f>
        <v/>
      </c>
      <c r="J5" s="2" t="str" cm="1">
        <f t="array" ref="J5">_xlfn.XLOOKUP(I5,Table5[Samedi],Table5[[Début]:[Fin]],"")</f>
        <v/>
      </c>
    </row>
    <row r="6" spans="1:11" x14ac:dyDescent="0.4">
      <c r="A6" t="str">
        <v>Ledru</v>
      </c>
      <c r="B6" t="str">
        <v>Ana-Lou</v>
      </c>
      <c r="D6" s="2" t="str" cm="1">
        <f t="array" ref="D6">_xlfn.XLOOKUP(C6,Table5[Samedi],Table5[[Début]:[Fin]],"")</f>
        <v/>
      </c>
      <c r="G6" s="2" t="str" cm="1">
        <f t="array" ref="G6">_xlfn.XLOOKUP(F6,Table5[Samedi],Table5[[Début]:[Fin]],"")</f>
        <v/>
      </c>
      <c r="J6" s="2" t="str" cm="1">
        <f t="array" ref="J6">_xlfn.XLOOKUP(I6,Table5[Samedi],Table5[[Début]:[Fin]],"")</f>
        <v/>
      </c>
    </row>
    <row r="7" spans="1:11" x14ac:dyDescent="0.4">
      <c r="A7" t="str">
        <v>Pero</v>
      </c>
      <c r="B7" t="str">
        <v>Andy</v>
      </c>
      <c r="D7" s="2" t="str" cm="1">
        <f t="array" ref="D7">_xlfn.XLOOKUP(C7,Table5[Samedi],Table5[[Début]:[Fin]],"")</f>
        <v/>
      </c>
      <c r="G7" s="2" t="str" cm="1">
        <f t="array" ref="G7">_xlfn.XLOOKUP(F7,Table5[Samedi],Table5[[Début]:[Fin]],"")</f>
        <v/>
      </c>
      <c r="J7" s="2" t="str" cm="1">
        <f t="array" ref="J7">_xlfn.XLOOKUP(I7,Table5[Samedi],Table5[[Début]:[Fin]],"")</f>
        <v/>
      </c>
    </row>
    <row r="8" spans="1:11" x14ac:dyDescent="0.4">
      <c r="A8" t="str">
        <v>Mallet</v>
      </c>
      <c r="B8" t="str">
        <v>Anna</v>
      </c>
      <c r="D8" s="2" t="str" cm="1">
        <f t="array" ref="D8">_xlfn.XLOOKUP(C8,Table5[Samedi],Table5[[Début]:[Fin]],"")</f>
        <v/>
      </c>
      <c r="G8" s="2" t="str" cm="1">
        <f t="array" ref="G8">_xlfn.XLOOKUP(F8,Table5[Samedi],Table5[[Début]:[Fin]],"")</f>
        <v/>
      </c>
      <c r="J8" s="2" t="str" cm="1">
        <f t="array" ref="J8">_xlfn.XLOOKUP(I8,Table5[Samedi],Table5[[Début]:[Fin]],"")</f>
        <v/>
      </c>
    </row>
    <row r="9" spans="1:11" x14ac:dyDescent="0.4">
      <c r="A9" t="str">
        <v>Malric</v>
      </c>
      <c r="B9" t="str">
        <v>Annouk</v>
      </c>
      <c r="D9" s="2" t="str" cm="1">
        <f t="array" ref="D9">_xlfn.XLOOKUP(C9,Table5[Samedi],Table5[[Début]:[Fin]],"")</f>
        <v/>
      </c>
      <c r="G9" s="2" t="str" cm="1">
        <f t="array" ref="G9">_xlfn.XLOOKUP(F9,Table5[Samedi],Table5[[Début]:[Fin]],"")</f>
        <v/>
      </c>
      <c r="J9" s="2" t="str" cm="1">
        <f t="array" ref="J9">_xlfn.XLOOKUP(I9,Table5[Samedi],Table5[[Début]:[Fin]],"")</f>
        <v/>
      </c>
    </row>
    <row r="10" spans="1:11" x14ac:dyDescent="0.4">
      <c r="A10" t="str">
        <v>Noël</v>
      </c>
      <c r="B10" t="str">
        <v>Antonin</v>
      </c>
      <c r="D10" s="2" t="str" cm="1">
        <f t="array" ref="D10">_xlfn.XLOOKUP(C10,Table5[Samedi],Table5[[Début]:[Fin]],"")</f>
        <v/>
      </c>
      <c r="G10" s="2" t="str" cm="1">
        <f t="array" ref="G10">_xlfn.XLOOKUP(F10,Table5[Samedi],Table5[[Début]:[Fin]],"")</f>
        <v/>
      </c>
      <c r="J10" s="2" t="str" cm="1">
        <f t="array" ref="J10">_xlfn.XLOOKUP(I10,Table5[Samedi],Table5[[Début]:[Fin]],"")</f>
        <v/>
      </c>
    </row>
    <row r="11" spans="1:11" x14ac:dyDescent="0.4">
      <c r="A11" t="str">
        <v>Tessier</v>
      </c>
      <c r="B11" t="str">
        <v>Arsène</v>
      </c>
      <c r="D11" s="2" t="str" cm="1">
        <f t="array" ref="D11">_xlfn.XLOOKUP(C11,Table5[Samedi],Table5[[Début]:[Fin]],"")</f>
        <v/>
      </c>
      <c r="G11" s="2" t="str" cm="1">
        <f t="array" ref="G11">_xlfn.XLOOKUP(F11,Table5[Samedi],Table5[[Début]:[Fin]],"")</f>
        <v/>
      </c>
      <c r="J11" s="2" t="str" cm="1">
        <f t="array" ref="J11">_xlfn.XLOOKUP(I11,Table5[Samedi],Table5[[Début]:[Fin]],"")</f>
        <v/>
      </c>
    </row>
    <row r="12" spans="1:11" x14ac:dyDescent="0.4">
      <c r="A12" t="str">
        <v>Uldry</v>
      </c>
      <c r="B12" t="str">
        <v>Arthur</v>
      </c>
      <c r="D12" s="2" t="str" cm="1">
        <f t="array" ref="D12">_xlfn.XLOOKUP(C12,Table5[Samedi],Table5[[Début]:[Fin]],"")</f>
        <v/>
      </c>
      <c r="G12" s="2" t="str" cm="1">
        <f t="array" ref="G12">_xlfn.XLOOKUP(F12,Table5[Samedi],Table5[[Début]:[Fin]],"")</f>
        <v/>
      </c>
      <c r="J12" s="2" t="str" cm="1">
        <f t="array" ref="J12">_xlfn.XLOOKUP(I12,Table5[Samedi],Table5[[Début]:[Fin]],"")</f>
        <v/>
      </c>
    </row>
    <row r="13" spans="1:11" x14ac:dyDescent="0.4">
      <c r="A13" t="str">
        <v>Marchand</v>
      </c>
      <c r="B13" t="str">
        <v>Athénaé</v>
      </c>
      <c r="D13" s="2" t="str" cm="1">
        <f t="array" ref="D13">_xlfn.XLOOKUP(C13,Table5[Samedi],Table5[[Début]:[Fin]],"")</f>
        <v/>
      </c>
      <c r="G13" s="2" t="str" cm="1">
        <f t="array" ref="G13">_xlfn.XLOOKUP(F13,Table5[Samedi],Table5[[Début]:[Fin]],"")</f>
        <v/>
      </c>
      <c r="J13" s="2" t="str" cm="1">
        <f t="array" ref="J13">_xlfn.XLOOKUP(I13,Table5[Samedi],Table5[[Début]:[Fin]],"")</f>
        <v/>
      </c>
    </row>
    <row r="14" spans="1:11" x14ac:dyDescent="0.4">
      <c r="A14" t="str">
        <v>Magerand</v>
      </c>
      <c r="B14" t="str">
        <v>Auxence</v>
      </c>
      <c r="D14" s="2" t="str" cm="1">
        <f t="array" ref="D14">_xlfn.XLOOKUP(C14,Table5[Samedi],Table5[[Début]:[Fin]],"")</f>
        <v/>
      </c>
      <c r="G14" s="2" t="str" cm="1">
        <f t="array" ref="G14">_xlfn.XLOOKUP(F14,Table5[Samedi],Table5[[Début]:[Fin]],"")</f>
        <v/>
      </c>
      <c r="J14" s="2" t="str" cm="1">
        <f t="array" ref="J14">_xlfn.XLOOKUP(I14,Table5[Samedi],Table5[[Début]:[Fin]],"")</f>
        <v/>
      </c>
    </row>
    <row r="15" spans="1:11" x14ac:dyDescent="0.4">
      <c r="A15" t="str">
        <v>Baruch</v>
      </c>
      <c r="B15" t="str">
        <v>Ava</v>
      </c>
      <c r="D15" s="2" t="str" cm="1">
        <f t="array" ref="D15">_xlfn.XLOOKUP(C15,Table5[Samedi],Table5[[Début]:[Fin]],"")</f>
        <v/>
      </c>
      <c r="G15" s="2" t="str" cm="1">
        <f t="array" ref="G15">_xlfn.XLOOKUP(F15,Table5[Samedi],Table5[[Début]:[Fin]],"")</f>
        <v/>
      </c>
      <c r="J15" s="2" t="str" cm="1">
        <f t="array" ref="J15">_xlfn.XLOOKUP(I15,Table5[Samedi],Table5[[Début]:[Fin]],"")</f>
        <v/>
      </c>
    </row>
    <row r="16" spans="1:11" x14ac:dyDescent="0.4">
      <c r="A16" t="str">
        <v>Detrain</v>
      </c>
      <c r="B16" t="str">
        <v>Benoît</v>
      </c>
      <c r="D16" s="2" t="str" cm="1">
        <f t="array" ref="D16">_xlfn.XLOOKUP(C16,Table5[Samedi],Table5[[Début]:[Fin]],"")</f>
        <v/>
      </c>
      <c r="G16" s="2" t="str" cm="1">
        <f t="array" ref="G16">_xlfn.XLOOKUP(F16,Table5[Samedi],Table5[[Début]:[Fin]],"")</f>
        <v/>
      </c>
      <c r="J16" s="2" t="str" cm="1">
        <f t="array" ref="J16">_xlfn.XLOOKUP(I16,Table5[Samedi],Table5[[Début]:[Fin]],"")</f>
        <v/>
      </c>
    </row>
    <row r="17" spans="1:10" x14ac:dyDescent="0.4">
      <c r="A17" t="str">
        <v>Meige</v>
      </c>
      <c r="B17" t="str">
        <v>Corentin</v>
      </c>
      <c r="D17" s="2" t="str" cm="1">
        <f t="array" ref="D17">_xlfn.XLOOKUP(C17,Table5[Samedi],Table5[[Début]:[Fin]],"")</f>
        <v/>
      </c>
      <c r="G17" s="2" t="str" cm="1">
        <f t="array" ref="G17">_xlfn.XLOOKUP(F17,Table5[Samedi],Table5[[Début]:[Fin]],"")</f>
        <v/>
      </c>
      <c r="J17" s="2" t="str" cm="1">
        <f t="array" ref="J17">_xlfn.XLOOKUP(I17,Table5[Samedi],Table5[[Début]:[Fin]],"")</f>
        <v/>
      </c>
    </row>
    <row r="18" spans="1:10" x14ac:dyDescent="0.4">
      <c r="A18" t="str">
        <v>De Filippo</v>
      </c>
      <c r="B18" t="str">
        <v>Emma</v>
      </c>
      <c r="D18" s="2" t="str" cm="1">
        <f t="array" ref="D18">_xlfn.XLOOKUP(C18,Table5[Samedi],Table5[[Début]:[Fin]],"")</f>
        <v/>
      </c>
      <c r="G18" s="2" t="str" cm="1">
        <f t="array" ref="G18">_xlfn.XLOOKUP(F18,Table5[Samedi],Table5[[Début]:[Fin]],"")</f>
        <v/>
      </c>
      <c r="J18" s="2" t="str" cm="1">
        <f t="array" ref="J18">_xlfn.XLOOKUP(I18,Table5[Samedi],Table5[[Début]:[Fin]],"")</f>
        <v/>
      </c>
    </row>
    <row r="19" spans="1:10" x14ac:dyDescent="0.4">
      <c r="A19" t="str">
        <v>Prouvost</v>
      </c>
      <c r="B19" t="str">
        <v>Eugénie</v>
      </c>
      <c r="D19" s="2" t="str" cm="1">
        <f t="array" ref="D19">_xlfn.XLOOKUP(C19,Table5[Samedi],Table5[[Début]:[Fin]],"")</f>
        <v/>
      </c>
      <c r="G19" s="2" t="str" cm="1">
        <f t="array" ref="G19">_xlfn.XLOOKUP(F19,Table5[Samedi],Table5[[Début]:[Fin]],"")</f>
        <v/>
      </c>
      <c r="J19" s="2" t="str" cm="1">
        <f t="array" ref="J19">_xlfn.XLOOKUP(I19,Table5[Samedi],Table5[[Début]:[Fin]],"")</f>
        <v/>
      </c>
    </row>
    <row r="20" spans="1:10" x14ac:dyDescent="0.4">
      <c r="A20" t="str">
        <v xml:space="preserve">Rakotonandrasana </v>
      </c>
      <c r="B20" t="str">
        <v>Iris</v>
      </c>
      <c r="D20" s="2" t="str" cm="1">
        <f t="array" ref="D20">_xlfn.XLOOKUP(C20,Table5[Samedi],Table5[[Début]:[Fin]],"")</f>
        <v/>
      </c>
      <c r="G20" s="2" t="str" cm="1">
        <f t="array" ref="G20">_xlfn.XLOOKUP(F20,Table5[Samedi],Table5[[Début]:[Fin]],"")</f>
        <v/>
      </c>
      <c r="J20" s="2" t="str" cm="1">
        <f t="array" ref="J20">_xlfn.XLOOKUP(I20,Table5[Samedi],Table5[[Début]:[Fin]],"")</f>
        <v/>
      </c>
    </row>
    <row r="21" spans="1:10" x14ac:dyDescent="0.4">
      <c r="A21" t="str">
        <v>Bürgisser</v>
      </c>
      <c r="B21" t="str">
        <v>Jamilah</v>
      </c>
      <c r="D21" s="2" t="str" cm="1">
        <f t="array" ref="D21">_xlfn.XLOOKUP(C21,Table5[Samedi],Table5[[Début]:[Fin]],"")</f>
        <v/>
      </c>
      <c r="G21" s="2" t="str" cm="1">
        <f t="array" ref="G21">_xlfn.XLOOKUP(F21,Table5[Samedi],Table5[[Début]:[Fin]],"")</f>
        <v/>
      </c>
      <c r="J21" s="2" t="str" cm="1">
        <f t="array" ref="J21">_xlfn.XLOOKUP(I21,Table5[Samedi],Table5[[Début]:[Fin]],"")</f>
        <v/>
      </c>
    </row>
    <row r="22" spans="1:10" x14ac:dyDescent="0.4">
      <c r="A22" t="str">
        <v>Ruscio</v>
      </c>
      <c r="B22" t="str">
        <v>Jolan</v>
      </c>
      <c r="D22" s="2" t="str" cm="1">
        <f t="array" ref="D22">_xlfn.XLOOKUP(C22,Table5[Samedi],Table5[[Début]:[Fin]],"")</f>
        <v/>
      </c>
      <c r="G22" s="2" t="str" cm="1">
        <f t="array" ref="G22">_xlfn.XLOOKUP(F22,Table5[Samedi],Table5[[Début]:[Fin]],"")</f>
        <v/>
      </c>
      <c r="J22" s="2" t="str" cm="1">
        <f t="array" ref="J22">_xlfn.XLOOKUP(I22,Table5[Samedi],Table5[[Début]:[Fin]],"")</f>
        <v/>
      </c>
    </row>
    <row r="23" spans="1:10" x14ac:dyDescent="0.4">
      <c r="A23" t="str">
        <v>Wuilloud</v>
      </c>
      <c r="B23" t="str">
        <v xml:space="preserve">Jonas </v>
      </c>
      <c r="D23" s="2" t="str" cm="1">
        <f t="array" ref="D23">_xlfn.XLOOKUP(C23,Table5[Samedi],Table5[[Début]:[Fin]],"")</f>
        <v/>
      </c>
      <c r="G23" s="2" t="str" cm="1">
        <f t="array" ref="G23">_xlfn.XLOOKUP(F23,Table5[Samedi],Table5[[Début]:[Fin]],"")</f>
        <v/>
      </c>
      <c r="J23" s="2" t="str" cm="1">
        <f t="array" ref="J23">_xlfn.XLOOKUP(I23,Table5[Samedi],Table5[[Début]:[Fin]],"")</f>
        <v/>
      </c>
    </row>
    <row r="24" spans="1:10" x14ac:dyDescent="0.4">
      <c r="A24" t="str">
        <v>Pirolley</v>
      </c>
      <c r="B24" t="str">
        <v>Jules</v>
      </c>
      <c r="D24" s="2" t="str" cm="1">
        <f t="array" ref="D24">_xlfn.XLOOKUP(C24,Table5[Samedi],Table5[[Début]:[Fin]],"")</f>
        <v/>
      </c>
      <c r="G24" s="2" t="str" cm="1">
        <f t="array" ref="G24">_xlfn.XLOOKUP(F24,Table5[Samedi],Table5[[Début]:[Fin]],"")</f>
        <v/>
      </c>
      <c r="J24" s="2" t="str" cm="1">
        <f t="array" ref="J24">_xlfn.XLOOKUP(I24,Table5[Samedi],Table5[[Début]:[Fin]],"")</f>
        <v/>
      </c>
    </row>
    <row r="25" spans="1:10" x14ac:dyDescent="0.4">
      <c r="A25" t="str">
        <v>Chavaillaz</v>
      </c>
      <c r="B25" t="str">
        <v>Julie</v>
      </c>
      <c r="D25" s="2" t="str" cm="1">
        <f t="array" ref="D25">_xlfn.XLOOKUP(C25,Table5[Samedi],Table5[[Début]:[Fin]],"")</f>
        <v/>
      </c>
      <c r="G25" s="2" t="str" cm="1">
        <f t="array" ref="G25">_xlfn.XLOOKUP(F25,Table5[Samedi],Table5[[Début]:[Fin]],"")</f>
        <v/>
      </c>
      <c r="J25" s="2" t="str" cm="1">
        <f t="array" ref="J25">_xlfn.XLOOKUP(I25,Table5[Samedi],Table5[[Début]:[Fin]],"")</f>
        <v/>
      </c>
    </row>
    <row r="26" spans="1:10" x14ac:dyDescent="0.4">
      <c r="A26" t="str">
        <v>Oeschger</v>
      </c>
      <c r="B26" t="str">
        <v>Kristel</v>
      </c>
      <c r="D26" s="2" t="str" cm="1">
        <f t="array" ref="D26">_xlfn.XLOOKUP(C26,Table5[Samedi],Table5[[Début]:[Fin]],"")</f>
        <v/>
      </c>
      <c r="G26" s="2" t="str" cm="1">
        <f t="array" ref="G26">_xlfn.XLOOKUP(F26,Table5[Samedi],Table5[[Début]:[Fin]],"")</f>
        <v/>
      </c>
      <c r="J26" s="2" t="str" cm="1">
        <f t="array" ref="J26">_xlfn.XLOOKUP(I26,Table5[Samedi],Table5[[Début]:[Fin]],"")</f>
        <v/>
      </c>
    </row>
    <row r="27" spans="1:10" x14ac:dyDescent="0.4">
      <c r="A27" t="str">
        <v>Baltzinger</v>
      </c>
      <c r="B27" t="str">
        <v>Léa</v>
      </c>
      <c r="D27" s="2" t="str" cm="1">
        <f t="array" ref="D27">_xlfn.XLOOKUP(C27,Table5[Samedi],Table5[[Début]:[Fin]],"")</f>
        <v/>
      </c>
      <c r="G27" s="2" t="str" cm="1">
        <f t="array" ref="G27">_xlfn.XLOOKUP(F27,Table5[Samedi],Table5[[Début]:[Fin]],"")</f>
        <v/>
      </c>
      <c r="J27" s="2" t="str" cm="1">
        <f t="array" ref="J27">_xlfn.XLOOKUP(I27,Table5[Samedi],Table5[[Début]:[Fin]],"")</f>
        <v/>
      </c>
    </row>
    <row r="28" spans="1:10" x14ac:dyDescent="0.4">
      <c r="A28" t="str">
        <v>Chambaz</v>
      </c>
      <c r="B28" t="str">
        <v>Léa</v>
      </c>
      <c r="D28" s="2" t="str" cm="1">
        <f t="array" ref="D28">_xlfn.XLOOKUP(C28,Table5[Samedi],Table5[[Début]:[Fin]],"")</f>
        <v/>
      </c>
      <c r="G28" s="2" t="str" cm="1">
        <f t="array" ref="G28">_xlfn.XLOOKUP(F28,Table5[Samedi],Table5[[Début]:[Fin]],"")</f>
        <v/>
      </c>
      <c r="J28" s="2" t="str" cm="1">
        <f t="array" ref="J28">_xlfn.XLOOKUP(I28,Table5[Samedi],Table5[[Début]:[Fin]],"")</f>
        <v/>
      </c>
    </row>
    <row r="29" spans="1:10" x14ac:dyDescent="0.4">
      <c r="A29" t="str">
        <v>Jaquet</v>
      </c>
      <c r="B29" t="str">
        <v>Lisa</v>
      </c>
      <c r="D29" s="2" t="str" cm="1">
        <f t="array" ref="D29">_xlfn.XLOOKUP(C29,Table5[Samedi],Table5[[Début]:[Fin]],"")</f>
        <v/>
      </c>
      <c r="G29" s="2" t="str" cm="1">
        <f t="array" ref="G29">_xlfn.XLOOKUP(F29,Table5[Samedi],Table5[[Début]:[Fin]],"")</f>
        <v/>
      </c>
      <c r="J29" s="2" t="str" cm="1">
        <f t="array" ref="J29">_xlfn.XLOOKUP(I29,Table5[Samedi],Table5[[Début]:[Fin]],"")</f>
        <v/>
      </c>
    </row>
    <row r="30" spans="1:10" x14ac:dyDescent="0.4">
      <c r="A30" t="str">
        <v>Magnin</v>
      </c>
      <c r="B30" t="str">
        <v>Lisa</v>
      </c>
      <c r="D30" s="2" t="str" cm="1">
        <f t="array" ref="D30">_xlfn.XLOOKUP(C30,Table5[Samedi],Table5[[Début]:[Fin]],"")</f>
        <v/>
      </c>
      <c r="G30" s="2" t="str" cm="1">
        <f t="array" ref="G30">_xlfn.XLOOKUP(F30,Table5[Samedi],Table5[[Début]:[Fin]],"")</f>
        <v/>
      </c>
      <c r="J30" s="2" t="str" cm="1">
        <f t="array" ref="J30">_xlfn.XLOOKUP(I30,Table5[Samedi],Table5[[Début]:[Fin]],"")</f>
        <v/>
      </c>
    </row>
    <row r="31" spans="1:10" x14ac:dyDescent="0.4">
      <c r="A31" t="str">
        <v>Cardis</v>
      </c>
      <c r="B31" t="str">
        <v>Louis</v>
      </c>
      <c r="D31" s="2" t="str" cm="1">
        <f t="array" ref="D31">_xlfn.XLOOKUP(C31,Table5[Samedi],Table5[[Début]:[Fin]],"")</f>
        <v/>
      </c>
      <c r="G31" s="2" t="str" cm="1">
        <f t="array" ref="G31">_xlfn.XLOOKUP(F31,Table5[Samedi],Table5[[Début]:[Fin]],"")</f>
        <v/>
      </c>
      <c r="J31" s="2" t="str" cm="1">
        <f t="array" ref="J31">_xlfn.XLOOKUP(I31,Table5[Samedi],Table5[[Début]:[Fin]],"")</f>
        <v/>
      </c>
    </row>
    <row r="32" spans="1:10" x14ac:dyDescent="0.4">
      <c r="A32" t="str">
        <v>Post</v>
      </c>
      <c r="B32" t="str">
        <v>Louis</v>
      </c>
      <c r="D32" s="2" t="str" cm="1">
        <f t="array" ref="D32">_xlfn.XLOOKUP(C32,Table5[Samedi],Table5[[Début]:[Fin]],"")</f>
        <v/>
      </c>
      <c r="G32" s="2" t="str" cm="1">
        <f t="array" ref="G32">_xlfn.XLOOKUP(F32,Table5[Samedi],Table5[[Début]:[Fin]],"")</f>
        <v/>
      </c>
      <c r="J32" s="2" t="str" cm="1">
        <f t="array" ref="J32">_xlfn.XLOOKUP(I32,Table5[Samedi],Table5[[Début]:[Fin]],"")</f>
        <v/>
      </c>
    </row>
    <row r="33" spans="1:10" x14ac:dyDescent="0.4">
      <c r="A33" t="str">
        <v>Blanchard</v>
      </c>
      <c r="B33" t="str">
        <v>Louise</v>
      </c>
      <c r="D33" s="2" t="str" cm="1">
        <f t="array" ref="D33">_xlfn.XLOOKUP(C33,Table5[Samedi],Table5[[Début]:[Fin]],"")</f>
        <v/>
      </c>
      <c r="G33" s="2" t="str" cm="1">
        <f t="array" ref="G33">_xlfn.XLOOKUP(F33,Table5[Samedi],Table5[[Début]:[Fin]],"")</f>
        <v/>
      </c>
      <c r="J33" s="2" t="str" cm="1">
        <f t="array" ref="J33">_xlfn.XLOOKUP(I33,Table5[Samedi],Table5[[Début]:[Fin]],"")</f>
        <v/>
      </c>
    </row>
    <row r="34" spans="1:10" x14ac:dyDescent="0.4">
      <c r="A34" t="str">
        <v>Chastroux</v>
      </c>
      <c r="B34" t="str">
        <v>Lucas</v>
      </c>
      <c r="D34" s="2" t="str" cm="1">
        <f t="array" ref="D34">_xlfn.XLOOKUP(C34,Table5[Samedi],Table5[[Début]:[Fin]],"")</f>
        <v/>
      </c>
      <c r="G34" s="2" t="str" cm="1">
        <f t="array" ref="G34">_xlfn.XLOOKUP(F34,Table5[Samedi],Table5[[Début]:[Fin]],"")</f>
        <v/>
      </c>
      <c r="J34" s="2" t="str" cm="1">
        <f t="array" ref="J34">_xlfn.XLOOKUP(I34,Table5[Samedi],Table5[[Début]:[Fin]],"")</f>
        <v/>
      </c>
    </row>
    <row r="35" spans="1:10" x14ac:dyDescent="0.4">
      <c r="A35" t="str">
        <v>Meyer</v>
      </c>
      <c r="B35" t="str">
        <v>Lucie</v>
      </c>
      <c r="D35" s="2" t="str" cm="1">
        <f t="array" ref="D35">_xlfn.XLOOKUP(C35,Table5[Samedi],Table5[[Début]:[Fin]],"")</f>
        <v/>
      </c>
      <c r="G35" s="2" t="str" cm="1">
        <f t="array" ref="G35">_xlfn.XLOOKUP(F35,Table5[Samedi],Table5[[Début]:[Fin]],"")</f>
        <v/>
      </c>
      <c r="J35" s="2" t="str" cm="1">
        <f t="array" ref="J35">_xlfn.XLOOKUP(I35,Table5[Samedi],Table5[[Début]:[Fin]],"")</f>
        <v/>
      </c>
    </row>
    <row r="36" spans="1:10" x14ac:dyDescent="0.4">
      <c r="A36" t="str">
        <v>Ménétrey</v>
      </c>
      <c r="B36" t="str">
        <v>Maëlan</v>
      </c>
      <c r="D36" s="2" t="str" cm="1">
        <f t="array" ref="D36">_xlfn.XLOOKUP(C36,Table5[Samedi],Table5[[Début]:[Fin]],"")</f>
        <v/>
      </c>
      <c r="G36" s="2" t="str" cm="1">
        <f t="array" ref="G36">_xlfn.XLOOKUP(F36,Table5[Samedi],Table5[[Début]:[Fin]],"")</f>
        <v/>
      </c>
      <c r="J36" s="2" t="str" cm="1">
        <f t="array" ref="J36">_xlfn.XLOOKUP(I36,Table5[Samedi],Table5[[Début]:[Fin]],"")</f>
        <v/>
      </c>
    </row>
    <row r="37" spans="1:10" x14ac:dyDescent="0.4">
      <c r="A37" t="str">
        <v>Chambaz</v>
      </c>
      <c r="B37" t="str">
        <v>Maëlle</v>
      </c>
      <c r="D37" s="2" t="str" cm="1">
        <f t="array" ref="D37">_xlfn.XLOOKUP(C37,Table5[Samedi],Table5[[Début]:[Fin]],"")</f>
        <v/>
      </c>
      <c r="G37" s="2" t="str" cm="1">
        <f t="array" ref="G37">_xlfn.XLOOKUP(F37,Table5[Samedi],Table5[[Début]:[Fin]],"")</f>
        <v/>
      </c>
      <c r="J37" s="2" t="str" cm="1">
        <f t="array" ref="J37">_xlfn.XLOOKUP(I37,Table5[Samedi],Table5[[Début]:[Fin]],"")</f>
        <v/>
      </c>
    </row>
    <row r="38" spans="1:10" x14ac:dyDescent="0.4">
      <c r="A38" t="str">
        <v>Felix</v>
      </c>
      <c r="B38" t="str">
        <v>Marius</v>
      </c>
      <c r="D38" s="2" t="str" cm="1">
        <f t="array" ref="D38">_xlfn.XLOOKUP(C38,Table5[Samedi],Table5[[Début]:[Fin]],"")</f>
        <v/>
      </c>
      <c r="G38" s="2" t="str" cm="1">
        <f t="array" ref="G38">_xlfn.XLOOKUP(F38,Table5[Samedi],Table5[[Début]:[Fin]],"")</f>
        <v/>
      </c>
      <c r="J38" s="2" t="str" cm="1">
        <f t="array" ref="J38">_xlfn.XLOOKUP(I38,Table5[Samedi],Table5[[Début]:[Fin]],"")</f>
        <v/>
      </c>
    </row>
    <row r="39" spans="1:10" x14ac:dyDescent="0.4">
      <c r="A39" t="str">
        <v>Ledru</v>
      </c>
      <c r="B39" t="str">
        <v>Marot</v>
      </c>
      <c r="D39" s="2" t="str" cm="1">
        <f t="array" ref="D39">_xlfn.XLOOKUP(C39,Table5[Samedi],Table5[[Début]:[Fin]],"")</f>
        <v/>
      </c>
      <c r="G39" s="2" t="str" cm="1">
        <f t="array" ref="G39">_xlfn.XLOOKUP(F39,Table5[Samedi],Table5[[Début]:[Fin]],"")</f>
        <v/>
      </c>
      <c r="J39" s="2" t="str" cm="1">
        <f t="array" ref="J39">_xlfn.XLOOKUP(I39,Table5[Samedi],Table5[[Début]:[Fin]],"")</f>
        <v/>
      </c>
    </row>
    <row r="40" spans="1:10" x14ac:dyDescent="0.4">
      <c r="A40" t="str">
        <v>Cuinet</v>
      </c>
      <c r="B40" t="str">
        <v>Mathis</v>
      </c>
      <c r="D40" s="2" t="str" cm="1">
        <f t="array" ref="D40">_xlfn.XLOOKUP(C40,Table5[Samedi],Table5[[Début]:[Fin]],"")</f>
        <v/>
      </c>
      <c r="G40" s="2" t="str" cm="1">
        <f t="array" ref="G40">_xlfn.XLOOKUP(F40,Table5[Samedi],Table5[[Début]:[Fin]],"")</f>
        <v/>
      </c>
      <c r="J40" s="2" t="str" cm="1">
        <f t="array" ref="J40">_xlfn.XLOOKUP(I40,Table5[Samedi],Table5[[Début]:[Fin]],"")</f>
        <v/>
      </c>
    </row>
    <row r="41" spans="1:10" x14ac:dyDescent="0.4">
      <c r="A41" t="str">
        <v>Gavin</v>
      </c>
      <c r="B41" t="str">
        <v>Matteo</v>
      </c>
      <c r="D41" s="2" t="str" cm="1">
        <f t="array" ref="D41">_xlfn.XLOOKUP(C41,Table5[Samedi],Table5[[Début]:[Fin]],"")</f>
        <v/>
      </c>
      <c r="G41" s="2" t="str" cm="1">
        <f t="array" ref="G41">_xlfn.XLOOKUP(F41,Table5[Samedi],Table5[[Début]:[Fin]],"")</f>
        <v/>
      </c>
      <c r="J41" s="2" t="str" cm="1">
        <f t="array" ref="J41">_xlfn.XLOOKUP(I41,Table5[Samedi],Table5[[Début]:[Fin]],"")</f>
        <v/>
      </c>
    </row>
    <row r="42" spans="1:10" x14ac:dyDescent="0.4">
      <c r="A42" t="str">
        <v>Debray</v>
      </c>
      <c r="B42" t="str">
        <v>Maxime</v>
      </c>
      <c r="D42" s="2" t="str" cm="1">
        <f t="array" ref="D42">_xlfn.XLOOKUP(C42,Table5[Samedi],Table5[[Début]:[Fin]],"")</f>
        <v/>
      </c>
      <c r="G42" s="2" t="str" cm="1">
        <f t="array" ref="G42">_xlfn.XLOOKUP(F42,Table5[Samedi],Table5[[Début]:[Fin]],"")</f>
        <v/>
      </c>
      <c r="J42" s="2" t="str" cm="1">
        <f t="array" ref="J42">_xlfn.XLOOKUP(I42,Table5[Samedi],Table5[[Début]:[Fin]],"")</f>
        <v/>
      </c>
    </row>
    <row r="43" spans="1:10" x14ac:dyDescent="0.4">
      <c r="A43" t="str">
        <v>Corbelli</v>
      </c>
      <c r="B43" t="str">
        <v>Maya</v>
      </c>
      <c r="D43" s="2" t="str" cm="1">
        <f t="array" ref="D43">_xlfn.XLOOKUP(C43,Table5[Samedi],Table5[[Début]:[Fin]],"")</f>
        <v/>
      </c>
      <c r="G43" s="2" t="str" cm="1">
        <f t="array" ref="G43">_xlfn.XLOOKUP(F43,Table5[Samedi],Table5[[Début]:[Fin]],"")</f>
        <v/>
      </c>
      <c r="J43" s="2" t="str" cm="1">
        <f t="array" ref="J43">_xlfn.XLOOKUP(I43,Table5[Samedi],Table5[[Début]:[Fin]],"")</f>
        <v/>
      </c>
    </row>
    <row r="44" spans="1:10" x14ac:dyDescent="0.4">
      <c r="A44" t="str">
        <v>Pasche</v>
      </c>
      <c r="B44" t="str">
        <v>Mickaël</v>
      </c>
      <c r="D44" s="2" t="str" cm="1">
        <f t="array" ref="D44">_xlfn.XLOOKUP(C44,Table5[Samedi],Table5[[Début]:[Fin]],"")</f>
        <v/>
      </c>
      <c r="G44" s="2" t="str" cm="1">
        <f t="array" ref="G44">_xlfn.XLOOKUP(F44,Table5[Samedi],Table5[[Début]:[Fin]],"")</f>
        <v/>
      </c>
      <c r="J44" s="2" t="str" cm="1">
        <f t="array" ref="J44">_xlfn.XLOOKUP(I44,Table5[Samedi],Table5[[Début]:[Fin]],"")</f>
        <v/>
      </c>
    </row>
    <row r="45" spans="1:10" x14ac:dyDescent="0.4">
      <c r="A45" t="str">
        <v>Ménard</v>
      </c>
      <c r="B45" t="str">
        <v>Mireille</v>
      </c>
      <c r="D45" s="2" t="str" cm="1">
        <f t="array" ref="D45">_xlfn.XLOOKUP(C45,Table5[Samedi],Table5[[Début]:[Fin]],"")</f>
        <v/>
      </c>
      <c r="G45" s="2" t="str" cm="1">
        <f t="array" ref="G45">_xlfn.XLOOKUP(F45,Table5[Samedi],Table5[[Début]:[Fin]],"")</f>
        <v/>
      </c>
      <c r="J45" s="2" t="str" cm="1">
        <f t="array" ref="J45">_xlfn.XLOOKUP(I45,Table5[Samedi],Table5[[Début]:[Fin]],"")</f>
        <v/>
      </c>
    </row>
    <row r="46" spans="1:10" x14ac:dyDescent="0.4">
      <c r="A46" t="str">
        <v>Fargues</v>
      </c>
      <c r="B46" t="str">
        <v>Morgana</v>
      </c>
      <c r="D46" s="2" t="str" cm="1">
        <f t="array" ref="D46">_xlfn.XLOOKUP(C46,Table5[Samedi],Table5[[Début]:[Fin]],"")</f>
        <v/>
      </c>
      <c r="G46" s="2" t="str" cm="1">
        <f t="array" ref="G46">_xlfn.XLOOKUP(F46,Table5[Samedi],Table5[[Début]:[Fin]],"")</f>
        <v/>
      </c>
      <c r="J46" s="2" t="str" cm="1">
        <f t="array" ref="J46">_xlfn.XLOOKUP(I46,Table5[Samedi],Table5[[Début]:[Fin]],"")</f>
        <v/>
      </c>
    </row>
    <row r="47" spans="1:10" x14ac:dyDescent="0.4">
      <c r="A47" t="str">
        <v>Scyboz (Lambelet)</v>
      </c>
      <c r="B47" t="str">
        <v>Morgane</v>
      </c>
      <c r="D47" s="2" t="str" cm="1">
        <f t="array" ref="D47">_xlfn.XLOOKUP(C47,Table5[Samedi],Table5[[Début]:[Fin]],"")</f>
        <v/>
      </c>
      <c r="G47" s="2" t="str" cm="1">
        <f t="array" ref="G47">_xlfn.XLOOKUP(F47,Table5[Samedi],Table5[[Début]:[Fin]],"")</f>
        <v/>
      </c>
      <c r="J47" s="2" t="str" cm="1">
        <f t="array" ref="J47">_xlfn.XLOOKUP(I47,Table5[Samedi],Table5[[Début]:[Fin]],"")</f>
        <v/>
      </c>
    </row>
    <row r="48" spans="1:10" x14ac:dyDescent="0.4">
      <c r="A48" t="str">
        <v>Koux</v>
      </c>
      <c r="B48" t="str">
        <v>Nathalia</v>
      </c>
      <c r="D48" s="2" t="str" cm="1">
        <f t="array" ref="D48">_xlfn.XLOOKUP(C48,Table5[Samedi],Table5[[Début]:[Fin]],"")</f>
        <v/>
      </c>
      <c r="G48" s="2" t="str" cm="1">
        <f t="array" ref="G48">_xlfn.XLOOKUP(F48,Table5[Samedi],Table5[[Début]:[Fin]],"")</f>
        <v/>
      </c>
      <c r="J48" s="2" t="str" cm="1">
        <f t="array" ref="J48">_xlfn.XLOOKUP(I48,Table5[Samedi],Table5[[Début]:[Fin]],"")</f>
        <v/>
      </c>
    </row>
    <row r="49" spans="1:10" x14ac:dyDescent="0.4">
      <c r="A49" t="str">
        <v>Cherpillod</v>
      </c>
      <c r="B49" t="str">
        <v>Noah</v>
      </c>
      <c r="D49" s="2" t="str" cm="1">
        <f t="array" ref="D49">_xlfn.XLOOKUP(C49,Table5[Samedi],Table5[[Début]:[Fin]],"")</f>
        <v/>
      </c>
      <c r="G49" s="2" t="str" cm="1">
        <f t="array" ref="G49">_xlfn.XLOOKUP(F49,Table5[Samedi],Table5[[Début]:[Fin]],"")</f>
        <v/>
      </c>
      <c r="J49" s="2" t="str" cm="1">
        <f t="array" ref="J49">_xlfn.XLOOKUP(I49,Table5[Samedi],Table5[[Début]:[Fin]],"")</f>
        <v/>
      </c>
    </row>
    <row r="50" spans="1:10" x14ac:dyDescent="0.4">
      <c r="A50" t="str">
        <v>Chambaz</v>
      </c>
      <c r="B50" t="str">
        <v>Patrick</v>
      </c>
      <c r="D50" s="2" t="str" cm="1">
        <f t="array" ref="D50">_xlfn.XLOOKUP(C50,Table5[Samedi],Table5[[Début]:[Fin]],"")</f>
        <v/>
      </c>
      <c r="G50" s="2" t="str" cm="1">
        <f t="array" ref="G50">_xlfn.XLOOKUP(F50,Table5[Samedi],Table5[[Début]:[Fin]],"")</f>
        <v/>
      </c>
      <c r="J50" s="2" t="str" cm="1">
        <f t="array" ref="J50">_xlfn.XLOOKUP(I50,Table5[Samedi],Table5[[Début]:[Fin]],"")</f>
        <v/>
      </c>
    </row>
    <row r="51" spans="1:10" x14ac:dyDescent="0.4">
      <c r="A51" t="str">
        <v>Assaoui</v>
      </c>
      <c r="B51" t="str">
        <v>Rama</v>
      </c>
      <c r="D51" s="2" t="str" cm="1">
        <f t="array" ref="D51">_xlfn.XLOOKUP(C51,Table5[Samedi],Table5[[Début]:[Fin]],"")</f>
        <v/>
      </c>
      <c r="G51" s="2" t="str" cm="1">
        <f t="array" ref="G51">_xlfn.XLOOKUP(F51,Table5[Samedi],Table5[[Début]:[Fin]],"")</f>
        <v/>
      </c>
      <c r="J51" s="2" t="str" cm="1">
        <f t="array" ref="J51">_xlfn.XLOOKUP(I51,Table5[Samedi],Table5[[Début]:[Fin]],"")</f>
        <v/>
      </c>
    </row>
    <row r="52" spans="1:10" x14ac:dyDescent="0.4">
      <c r="A52" t="str">
        <v>Lacroze</v>
      </c>
      <c r="B52" t="str">
        <v>Raphaël</v>
      </c>
      <c r="D52" s="2" t="str" cm="1">
        <f t="array" ref="D52">_xlfn.XLOOKUP(C52,Table5[Samedi],Table5[[Début]:[Fin]],"")</f>
        <v/>
      </c>
      <c r="G52" s="2" t="str" cm="1">
        <f t="array" ref="G52">_xlfn.XLOOKUP(F52,Table5[Samedi],Table5[[Début]:[Fin]],"")</f>
        <v/>
      </c>
      <c r="J52" s="2" t="str" cm="1">
        <f t="array" ref="J52">_xlfn.XLOOKUP(I52,Table5[Samedi],Table5[[Début]:[Fin]],"")</f>
        <v/>
      </c>
    </row>
    <row r="53" spans="1:10" x14ac:dyDescent="0.4">
      <c r="A53" t="str">
        <v>Neidhart</v>
      </c>
      <c r="B53" t="str">
        <v>Raphaëlle</v>
      </c>
      <c r="D53" s="2" t="str" cm="1">
        <f t="array" ref="D53">_xlfn.XLOOKUP(C53,Table5[Samedi],Table5[[Début]:[Fin]],"")</f>
        <v/>
      </c>
      <c r="G53" s="2" t="str" cm="1">
        <f t="array" ref="G53">_xlfn.XLOOKUP(F53,Table5[Samedi],Table5[[Début]:[Fin]],"")</f>
        <v/>
      </c>
      <c r="J53" s="2" t="str" cm="1">
        <f t="array" ref="J53">_xlfn.XLOOKUP(I53,Table5[Samedi],Table5[[Début]:[Fin]],"")</f>
        <v/>
      </c>
    </row>
    <row r="54" spans="1:10" x14ac:dyDescent="0.4">
      <c r="A54" t="str">
        <v xml:space="preserve">Lanni </v>
      </c>
      <c r="B54" t="str">
        <v>Roxanne</v>
      </c>
      <c r="D54" s="2" t="str" cm="1">
        <f t="array" ref="D54">_xlfn.XLOOKUP(C54,Table5[Samedi],Table5[[Début]:[Fin]],"")</f>
        <v/>
      </c>
      <c r="G54" s="2" t="str" cm="1">
        <f t="array" ref="G54">_xlfn.XLOOKUP(F54,Table5[Samedi],Table5[[Début]:[Fin]],"")</f>
        <v/>
      </c>
      <c r="J54" s="2" t="str" cm="1">
        <f t="array" ref="J54">_xlfn.XLOOKUP(I54,Table5[Samedi],Table5[[Début]:[Fin]],"")</f>
        <v/>
      </c>
    </row>
    <row r="55" spans="1:10" x14ac:dyDescent="0.4">
      <c r="A55" t="str">
        <v>Schiesser</v>
      </c>
      <c r="B55" t="str">
        <v>Sébastien</v>
      </c>
      <c r="D55" s="2" t="str" cm="1">
        <f t="array" ref="D55">_xlfn.XLOOKUP(C55,Table5[Samedi],Table5[[Début]:[Fin]],"")</f>
        <v/>
      </c>
      <c r="G55" s="2" t="str" cm="1">
        <f t="array" ref="G55">_xlfn.XLOOKUP(F55,Table5[Samedi],Table5[[Début]:[Fin]],"")</f>
        <v/>
      </c>
      <c r="J55" s="2" t="str" cm="1">
        <f t="array" ref="J55">_xlfn.XLOOKUP(I55,Table5[Samedi],Table5[[Début]:[Fin]],"")</f>
        <v/>
      </c>
    </row>
    <row r="56" spans="1:10" x14ac:dyDescent="0.4">
      <c r="A56" t="str">
        <v>Lambelet</v>
      </c>
      <c r="B56" t="str">
        <v>Simon</v>
      </c>
      <c r="D56" s="2" t="str" cm="1">
        <f t="array" ref="D56">_xlfn.XLOOKUP(C56,Table5[Samedi],Table5[[Début]:[Fin]],"")</f>
        <v/>
      </c>
      <c r="G56" s="2" t="str" cm="1">
        <f t="array" ref="G56">_xlfn.XLOOKUP(F56,Table5[Samedi],Table5[[Début]:[Fin]],"")</f>
        <v/>
      </c>
      <c r="J56" s="2" t="str" cm="1">
        <f t="array" ref="J56">_xlfn.XLOOKUP(I56,Table5[Samedi],Table5[[Début]:[Fin]],"")</f>
        <v/>
      </c>
    </row>
    <row r="57" spans="1:10" x14ac:dyDescent="0.4">
      <c r="A57" t="str">
        <v>Cyprien</v>
      </c>
      <c r="B57" t="str">
        <v>Theo</v>
      </c>
      <c r="D57" s="2" t="str" cm="1">
        <f t="array" ref="D57">_xlfn.XLOOKUP(C57,Table5[Samedi],Table5[[Début]:[Fin]],"")</f>
        <v/>
      </c>
      <c r="G57" s="2" t="str" cm="1">
        <f t="array" ref="G57">_xlfn.XLOOKUP(F57,Table5[Samedi],Table5[[Début]:[Fin]],"")</f>
        <v/>
      </c>
      <c r="J57" s="2" t="str" cm="1">
        <f t="array" ref="J57">_xlfn.XLOOKUP(I57,Table5[Samedi],Table5[[Début]:[Fin]],"")</f>
        <v/>
      </c>
    </row>
    <row r="58" spans="1:10" x14ac:dyDescent="0.4">
      <c r="A58" t="str">
        <v>Clerici</v>
      </c>
      <c r="B58" t="str">
        <v>Thibault</v>
      </c>
      <c r="D58" s="2" t="str" cm="1">
        <f t="array" ref="D58">_xlfn.XLOOKUP(C58,Table5[Samedi],Table5[[Début]:[Fin]],"")</f>
        <v/>
      </c>
      <c r="G58" s="2" t="str" cm="1">
        <f t="array" ref="G58">_xlfn.XLOOKUP(F58,Table5[Samedi],Table5[[Début]:[Fin]],"")</f>
        <v/>
      </c>
      <c r="J58" s="2" t="str" cm="1">
        <f t="array" ref="J58">_xlfn.XLOOKUP(I58,Table5[Samedi],Table5[[Début]:[Fin]],"")</f>
        <v/>
      </c>
    </row>
    <row r="59" spans="1:10" x14ac:dyDescent="0.4">
      <c r="A59" t="str">
        <v>Lagier</v>
      </c>
      <c r="B59" t="str">
        <v>Tician</v>
      </c>
      <c r="D59" s="2" t="str" cm="1">
        <f t="array" ref="D59">_xlfn.XLOOKUP(C59,Table5[Samedi],Table5[[Début]:[Fin]],"")</f>
        <v/>
      </c>
      <c r="G59" s="2" t="str" cm="1">
        <f t="array" ref="G59">_xlfn.XLOOKUP(F59,Table5[Samedi],Table5[[Début]:[Fin]],"")</f>
        <v/>
      </c>
      <c r="J59" s="2" t="str" cm="1">
        <f t="array" ref="J59">_xlfn.XLOOKUP(I59,Table5[Samedi],Table5[[Début]:[Fin]],"")</f>
        <v/>
      </c>
    </row>
    <row r="60" spans="1:10" x14ac:dyDescent="0.4">
      <c r="A60" t="str">
        <v>Ménétrey</v>
      </c>
      <c r="B60" t="str">
        <v>Titouan</v>
      </c>
      <c r="D60" s="2" t="str" cm="1">
        <f t="array" ref="D60">_xlfn.XLOOKUP(C60,Table5[Samedi],Table5[[Début]:[Fin]],"")</f>
        <v/>
      </c>
      <c r="G60" s="2" t="str" cm="1">
        <f t="array" ref="G60">_xlfn.XLOOKUP(F60,Table5[Samedi],Table5[[Début]:[Fin]],"")</f>
        <v/>
      </c>
      <c r="J60" s="2" t="str" cm="1">
        <f t="array" ref="J60">_xlfn.XLOOKUP(I60,Table5[Samedi],Table5[[Début]:[Fin]],"")</f>
        <v/>
      </c>
    </row>
    <row r="61" spans="1:10" x14ac:dyDescent="0.4">
      <c r="A61" t="str">
        <v>Clerici</v>
      </c>
      <c r="B61" t="str">
        <v>Tristan</v>
      </c>
      <c r="D61" s="2" t="str" cm="1">
        <f t="array" ref="D61">_xlfn.XLOOKUP(C61,Table5[Samedi],Table5[[Début]:[Fin]],"")</f>
        <v/>
      </c>
      <c r="G61" s="2" t="str" cm="1">
        <f t="array" ref="G61">_xlfn.XLOOKUP(F61,Table5[Samedi],Table5[[Début]:[Fin]],"")</f>
        <v/>
      </c>
      <c r="J61" s="2" t="str" cm="1">
        <f t="array" ref="J61">_xlfn.XLOOKUP(I61,Table5[Samedi],Table5[[Début]:[Fin]],"")</f>
        <v/>
      </c>
    </row>
    <row r="62" spans="1:10" x14ac:dyDescent="0.4">
      <c r="A62" t="str">
        <v>Bally</v>
      </c>
      <c r="B62" t="str">
        <v>Yann</v>
      </c>
      <c r="D62" s="2" t="str" cm="1">
        <f t="array" ref="D62">_xlfn.XLOOKUP(C62,Table5[Samedi],Table5[[Début]:[Fin]],"")</f>
        <v/>
      </c>
      <c r="G62" s="2" t="str" cm="1">
        <f t="array" ref="G62">_xlfn.XLOOKUP(F62,Table5[Samedi],Table5[[Début]:[Fin]],"")</f>
        <v/>
      </c>
      <c r="J62" s="2" t="str" cm="1">
        <f t="array" ref="J62">_xlfn.XLOOKUP(I62,Table5[Samedi],Table5[[Début]:[Fin]],"")</f>
        <v/>
      </c>
    </row>
    <row r="63" spans="1:10" x14ac:dyDescent="0.4">
      <c r="A63" t="str">
        <v>Ménétrey</v>
      </c>
      <c r="B63" t="str">
        <v>Ysatis</v>
      </c>
      <c r="D63" s="2" t="str" cm="1">
        <f t="array" ref="D63">_xlfn.XLOOKUP(C63,Table5[Samedi],Table5[[Début]:[Fin]],"")</f>
        <v/>
      </c>
      <c r="G63" s="2" t="str" cm="1">
        <f t="array" ref="G63">_xlfn.XLOOKUP(F63,Table5[Samedi],Table5[[Début]:[Fin]],"")</f>
        <v/>
      </c>
      <c r="J63" s="2" t="str" cm="1">
        <f t="array" ref="J63">_xlfn.XLOOKUP(I63,Table5[Samedi],Table5[[Début]:[Fin]],"")</f>
        <v/>
      </c>
    </row>
    <row r="64" spans="1:10" x14ac:dyDescent="0.4">
      <c r="D64" s="2" t="str" cm="1">
        <f t="array" ref="D64">_xlfn.XLOOKUP(C64,Table5[Samedi],Table5[[Début]:[Fin]],"")</f>
        <v/>
      </c>
      <c r="G64" s="2" t="str" cm="1">
        <f t="array" ref="G64">_xlfn.XLOOKUP(F64,Table5[Samedi],Table5[[Début]:[Fin]],"")</f>
        <v/>
      </c>
      <c r="J64" s="2" t="str" cm="1">
        <f t="array" ref="J64">_xlfn.XLOOKUP(I64,Table5[Samedi],Table5[[Début]:[Fin]],"")</f>
        <v/>
      </c>
    </row>
  </sheetData>
  <sheetProtection sheet="1" objects="1" scenarios="1"/>
  <protectedRanges>
    <protectedRange sqref="F1:F1048576 I1:I1048576" name="Concerts2"/>
    <protectedRange sqref="C1:C1048576" name="Concerts1"/>
  </protectedRanges>
  <conditionalFormatting sqref="A2:XFD65">
    <cfRule type="expression" dxfId="2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9F78A8-1F5E-4E5B-A0FE-59785D5AB99A}">
          <x14:formula1>
            <xm:f>Concerts!$M$2:$M$19</xm:f>
          </x14:formula1>
          <xm:sqref>C2:C64 F2:F64 I2:I64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EF01-3F3E-45A7-BC92-0C7AD64098EE}">
  <sheetPr codeName="Sheet6">
    <tabColor theme="2" tint="-0.249977111117893"/>
  </sheetPr>
  <dimension ref="A1:K63"/>
  <sheetViews>
    <sheetView workbookViewId="0">
      <selection activeCell="H6" sqref="H6"/>
    </sheetView>
  </sheetViews>
  <sheetFormatPr defaultRowHeight="14.6" x14ac:dyDescent="0.4"/>
  <cols>
    <col min="1" max="2" width="13.765625" customWidth="1"/>
    <col min="3" max="3" width="11.53515625" customWidth="1"/>
    <col min="4" max="5" width="8.765625" style="2" customWidth="1"/>
    <col min="6" max="6" width="11.53515625" customWidth="1"/>
    <col min="7" max="8" width="8.765625" style="2" customWidth="1"/>
    <col min="9" max="9" width="11.53515625" customWidth="1"/>
    <col min="10" max="11" width="8.765625" style="2" customWidth="1"/>
    <col min="12" max="12" width="2.921875" customWidth="1"/>
  </cols>
  <sheetData>
    <row r="1" spans="1:11" s="14" customFormat="1" x14ac:dyDescent="0.4">
      <c r="A1" s="14" t="s">
        <v>0</v>
      </c>
      <c r="B1" s="14" t="s">
        <v>1</v>
      </c>
      <c r="C1" s="14" t="s">
        <v>4</v>
      </c>
      <c r="D1" s="15" t="s">
        <v>2</v>
      </c>
      <c r="E1" s="15" t="s">
        <v>3</v>
      </c>
      <c r="F1" s="14" t="s">
        <v>5</v>
      </c>
      <c r="G1" s="15" t="s">
        <v>2</v>
      </c>
      <c r="H1" s="15" t="s">
        <v>3</v>
      </c>
      <c r="I1" s="14" t="s">
        <v>116</v>
      </c>
      <c r="J1" s="15" t="s">
        <v>2</v>
      </c>
      <c r="K1" s="15" t="s">
        <v>3</v>
      </c>
    </row>
    <row r="2" spans="1:11" x14ac:dyDescent="0.4">
      <c r="A2" t="str" cm="1">
        <f t="array" ref="A2:B63">_xlfn._xlws.FILTER('[1]Bénévoles 2026 V2'!$E:$F,'[1]Bénévoles 2026 V2'!$B:$B=TRUE)</f>
        <v>Bouvet</v>
      </c>
      <c r="B2" t="str">
        <v>Agathe</v>
      </c>
      <c r="D2" s="2" t="str" cm="1">
        <f t="array" ref="D2">_xlfn.XLOOKUP(C2,Table6[Dimanche],Table6[[Début]:[Fin]],"")</f>
        <v/>
      </c>
      <c r="G2" s="2" t="str" cm="1">
        <f t="array" ref="G2">_xlfn.XLOOKUP(F2,Table6[Dimanche],Table6[[Début]:[Fin]],"")</f>
        <v/>
      </c>
      <c r="J2" s="2" t="str" cm="1">
        <f t="array" ref="J2">_xlfn.XLOOKUP(I2,Table6[Dimanche],Table6[[Début]:[Fin]],"")</f>
        <v/>
      </c>
    </row>
    <row r="3" spans="1:11" x14ac:dyDescent="0.4">
      <c r="A3" t="str">
        <v>Bulka</v>
      </c>
      <c r="B3" t="str">
        <v>Alegria Lily</v>
      </c>
      <c r="D3" s="2" t="str" cm="1">
        <f t="array" ref="D3">_xlfn.XLOOKUP(C3,Table6[Dimanche],Table6[[Début]:[Fin]],"")</f>
        <v/>
      </c>
      <c r="G3" s="2" t="str" cm="1">
        <f t="array" ref="G3">_xlfn.XLOOKUP(F3,Table6[Dimanche],Table6[[Début]:[Fin]],"")</f>
        <v/>
      </c>
      <c r="J3" s="2" t="str" cm="1">
        <f t="array" ref="J3">_xlfn.XLOOKUP(I3,Table6[Dimanche],Table6[[Début]:[Fin]],"")</f>
        <v/>
      </c>
    </row>
    <row r="4" spans="1:11" x14ac:dyDescent="0.4">
      <c r="A4" t="str">
        <v>Bastian</v>
      </c>
      <c r="B4" t="str">
        <v>Alexandra</v>
      </c>
      <c r="D4" s="2" t="str" cm="1">
        <f t="array" ref="D4">_xlfn.XLOOKUP(C4,Table6[Dimanche],Table6[[Début]:[Fin]],"")</f>
        <v/>
      </c>
      <c r="G4" s="2" t="str" cm="1">
        <f t="array" ref="G4">_xlfn.XLOOKUP(F4,Table6[Dimanche],Table6[[Début]:[Fin]],"")</f>
        <v/>
      </c>
      <c r="J4" s="2" t="str" cm="1">
        <f t="array" ref="J4">_xlfn.XLOOKUP(I4,Table6[Dimanche],Table6[[Début]:[Fin]],"")</f>
        <v/>
      </c>
    </row>
    <row r="5" spans="1:11" x14ac:dyDescent="0.4">
      <c r="A5" t="str">
        <v>L'Horset</v>
      </c>
      <c r="B5" t="str">
        <v>Alice</v>
      </c>
      <c r="D5" s="2" t="str" cm="1">
        <f t="array" ref="D5">_xlfn.XLOOKUP(C5,Table6[Dimanche],Table6[[Début]:[Fin]],"")</f>
        <v/>
      </c>
      <c r="G5" s="2" t="str" cm="1">
        <f t="array" ref="G5">_xlfn.XLOOKUP(F5,Table6[Dimanche],Table6[[Début]:[Fin]],"")</f>
        <v/>
      </c>
      <c r="J5" s="2" t="str" cm="1">
        <f t="array" ref="J5">_xlfn.XLOOKUP(I5,Table6[Dimanche],Table6[[Début]:[Fin]],"")</f>
        <v/>
      </c>
    </row>
    <row r="6" spans="1:11" x14ac:dyDescent="0.4">
      <c r="A6" t="str">
        <v>Ledru</v>
      </c>
      <c r="B6" t="str">
        <v>Ana-Lou</v>
      </c>
      <c r="D6" s="2" t="str" cm="1">
        <f t="array" ref="D6">_xlfn.XLOOKUP(C6,Table6[Dimanche],Table6[[Début]:[Fin]],"")</f>
        <v/>
      </c>
      <c r="G6" s="2" t="str" cm="1">
        <f t="array" ref="G6">_xlfn.XLOOKUP(F6,Table6[Dimanche],Table6[[Début]:[Fin]],"")</f>
        <v/>
      </c>
      <c r="J6" s="2" t="str" cm="1">
        <f t="array" ref="J6">_xlfn.XLOOKUP(I6,Table6[Dimanche],Table6[[Début]:[Fin]],"")</f>
        <v/>
      </c>
    </row>
    <row r="7" spans="1:11" x14ac:dyDescent="0.4">
      <c r="A7" t="str">
        <v>Pero</v>
      </c>
      <c r="B7" t="str">
        <v>Andy</v>
      </c>
      <c r="D7" s="2" t="str" cm="1">
        <f t="array" ref="D7">_xlfn.XLOOKUP(C7,Table6[Dimanche],Table6[[Début]:[Fin]],"")</f>
        <v/>
      </c>
      <c r="G7" s="2" t="str" cm="1">
        <f t="array" ref="G7">_xlfn.XLOOKUP(F7,Table6[Dimanche],Table6[[Début]:[Fin]],"")</f>
        <v/>
      </c>
      <c r="J7" s="2" t="str" cm="1">
        <f t="array" ref="J7">_xlfn.XLOOKUP(I7,Table6[Dimanche],Table6[[Début]:[Fin]],"")</f>
        <v/>
      </c>
    </row>
    <row r="8" spans="1:11" x14ac:dyDescent="0.4">
      <c r="A8" t="str">
        <v>Mallet</v>
      </c>
      <c r="B8" t="str">
        <v>Anna</v>
      </c>
      <c r="D8" s="2" t="str" cm="1">
        <f t="array" ref="D8">_xlfn.XLOOKUP(C8,Table6[Dimanche],Table6[[Début]:[Fin]],"")</f>
        <v/>
      </c>
      <c r="G8" s="2" t="str" cm="1">
        <f t="array" ref="G8">_xlfn.XLOOKUP(F8,Table6[Dimanche],Table6[[Début]:[Fin]],"")</f>
        <v/>
      </c>
      <c r="J8" s="2" t="str" cm="1">
        <f t="array" ref="J8">_xlfn.XLOOKUP(I8,Table6[Dimanche],Table6[[Début]:[Fin]],"")</f>
        <v/>
      </c>
    </row>
    <row r="9" spans="1:11" x14ac:dyDescent="0.4">
      <c r="A9" t="str">
        <v>Malric</v>
      </c>
      <c r="B9" t="str">
        <v>Annouk</v>
      </c>
      <c r="D9" s="2" t="str" cm="1">
        <f t="array" ref="D9">_xlfn.XLOOKUP(C9,Table6[Dimanche],Table6[[Début]:[Fin]],"")</f>
        <v/>
      </c>
      <c r="G9" s="2" t="str" cm="1">
        <f t="array" ref="G9">_xlfn.XLOOKUP(F9,Table6[Dimanche],Table6[[Début]:[Fin]],"")</f>
        <v/>
      </c>
      <c r="J9" s="2" t="str" cm="1">
        <f t="array" ref="J9">_xlfn.XLOOKUP(I9,Table6[Dimanche],Table6[[Début]:[Fin]],"")</f>
        <v/>
      </c>
    </row>
    <row r="10" spans="1:11" x14ac:dyDescent="0.4">
      <c r="A10" t="str">
        <v>Noël</v>
      </c>
      <c r="B10" t="str">
        <v>Antonin</v>
      </c>
      <c r="D10" s="2" t="str" cm="1">
        <f t="array" ref="D10">_xlfn.XLOOKUP(C10,Table6[Dimanche],Table6[[Début]:[Fin]],"")</f>
        <v/>
      </c>
      <c r="G10" s="2" t="str" cm="1">
        <f t="array" ref="G10">_xlfn.XLOOKUP(F10,Table6[Dimanche],Table6[[Début]:[Fin]],"")</f>
        <v/>
      </c>
      <c r="J10" s="2" t="str" cm="1">
        <f t="array" ref="J10">_xlfn.XLOOKUP(I10,Table6[Dimanche],Table6[[Début]:[Fin]],"")</f>
        <v/>
      </c>
    </row>
    <row r="11" spans="1:11" x14ac:dyDescent="0.4">
      <c r="A11" t="str">
        <v>Tessier</v>
      </c>
      <c r="B11" t="str">
        <v>Arsène</v>
      </c>
      <c r="D11" s="2" t="str" cm="1">
        <f t="array" ref="D11">_xlfn.XLOOKUP(C11,Table6[Dimanche],Table6[[Début]:[Fin]],"")</f>
        <v/>
      </c>
      <c r="G11" s="2" t="str" cm="1">
        <f t="array" ref="G11">_xlfn.XLOOKUP(F11,Table6[Dimanche],Table6[[Début]:[Fin]],"")</f>
        <v/>
      </c>
      <c r="J11" s="2" t="str" cm="1">
        <f t="array" ref="J11">_xlfn.XLOOKUP(I11,Table6[Dimanche],Table6[[Début]:[Fin]],"")</f>
        <v/>
      </c>
    </row>
    <row r="12" spans="1:11" x14ac:dyDescent="0.4">
      <c r="A12" t="str">
        <v>Uldry</v>
      </c>
      <c r="B12" t="str">
        <v>Arthur</v>
      </c>
      <c r="D12" s="2" t="str" cm="1">
        <f t="array" ref="D12">_xlfn.XLOOKUP(C12,Table6[Dimanche],Table6[[Début]:[Fin]],"")</f>
        <v/>
      </c>
      <c r="G12" s="2" t="str" cm="1">
        <f t="array" ref="G12">_xlfn.XLOOKUP(F12,Table6[Dimanche],Table6[[Début]:[Fin]],"")</f>
        <v/>
      </c>
      <c r="J12" s="2" t="str" cm="1">
        <f t="array" ref="J12">_xlfn.XLOOKUP(I12,Table6[Dimanche],Table6[[Début]:[Fin]],"")</f>
        <v/>
      </c>
    </row>
    <row r="13" spans="1:11" x14ac:dyDescent="0.4">
      <c r="A13" t="str">
        <v>Marchand</v>
      </c>
      <c r="B13" t="str">
        <v>Athénaé</v>
      </c>
      <c r="D13" s="2" t="str" cm="1">
        <f t="array" ref="D13">_xlfn.XLOOKUP(C13,Table6[Dimanche],Table6[[Début]:[Fin]],"")</f>
        <v/>
      </c>
      <c r="G13" s="2" t="str" cm="1">
        <f t="array" ref="G13">_xlfn.XLOOKUP(F13,Table6[Dimanche],Table6[[Début]:[Fin]],"")</f>
        <v/>
      </c>
      <c r="J13" s="2" t="str" cm="1">
        <f t="array" ref="J13">_xlfn.XLOOKUP(I13,Table6[Dimanche],Table6[[Début]:[Fin]],"")</f>
        <v/>
      </c>
    </row>
    <row r="14" spans="1:11" x14ac:dyDescent="0.4">
      <c r="A14" t="str">
        <v>Magerand</v>
      </c>
      <c r="B14" t="str">
        <v>Auxence</v>
      </c>
      <c r="D14" s="2" t="str" cm="1">
        <f t="array" ref="D14">_xlfn.XLOOKUP(C14,Table6[Dimanche],Table6[[Début]:[Fin]],"")</f>
        <v/>
      </c>
      <c r="G14" s="2" t="str" cm="1">
        <f t="array" ref="G14">_xlfn.XLOOKUP(F14,Table6[Dimanche],Table6[[Début]:[Fin]],"")</f>
        <v/>
      </c>
      <c r="J14" s="2" t="str" cm="1">
        <f t="array" ref="J14">_xlfn.XLOOKUP(I14,Table6[Dimanche],Table6[[Début]:[Fin]],"")</f>
        <v/>
      </c>
    </row>
    <row r="15" spans="1:11" x14ac:dyDescent="0.4">
      <c r="A15" t="str">
        <v>Baruch</v>
      </c>
      <c r="B15" t="str">
        <v>Ava</v>
      </c>
      <c r="D15" s="2" t="str" cm="1">
        <f t="array" ref="D15">_xlfn.XLOOKUP(C15,Table6[Dimanche],Table6[[Début]:[Fin]],"")</f>
        <v/>
      </c>
      <c r="G15" s="2" t="str" cm="1">
        <f t="array" ref="G15">_xlfn.XLOOKUP(F15,Table6[Dimanche],Table6[[Début]:[Fin]],"")</f>
        <v/>
      </c>
      <c r="J15" s="2" t="str" cm="1">
        <f t="array" ref="J15">_xlfn.XLOOKUP(I15,Table6[Dimanche],Table6[[Début]:[Fin]],"")</f>
        <v/>
      </c>
    </row>
    <row r="16" spans="1:11" x14ac:dyDescent="0.4">
      <c r="A16" t="str">
        <v>Detrain</v>
      </c>
      <c r="B16" t="str">
        <v>Benoît</v>
      </c>
      <c r="D16" s="2" t="str" cm="1">
        <f t="array" ref="D16">_xlfn.XLOOKUP(C16,Table6[Dimanche],Table6[[Début]:[Fin]],"")</f>
        <v/>
      </c>
      <c r="G16" s="2" t="str" cm="1">
        <f t="array" ref="G16">_xlfn.XLOOKUP(F16,Table6[Dimanche],Table6[[Début]:[Fin]],"")</f>
        <v/>
      </c>
      <c r="J16" s="2" t="str" cm="1">
        <f t="array" ref="J16">_xlfn.XLOOKUP(I16,Table6[Dimanche],Table6[[Début]:[Fin]],"")</f>
        <v/>
      </c>
    </row>
    <row r="17" spans="1:10" x14ac:dyDescent="0.4">
      <c r="A17" t="str">
        <v>Meige</v>
      </c>
      <c r="B17" t="str">
        <v>Corentin</v>
      </c>
      <c r="D17" s="2" t="str" cm="1">
        <f t="array" ref="D17">_xlfn.XLOOKUP(C17,Table6[Dimanche],Table6[[Début]:[Fin]],"")</f>
        <v/>
      </c>
      <c r="G17" s="2" t="str" cm="1">
        <f t="array" ref="G17">_xlfn.XLOOKUP(F17,Table6[Dimanche],Table6[[Début]:[Fin]],"")</f>
        <v/>
      </c>
      <c r="J17" s="2" t="str" cm="1">
        <f t="array" ref="J17">_xlfn.XLOOKUP(I17,Table6[Dimanche],Table6[[Début]:[Fin]],"")</f>
        <v/>
      </c>
    </row>
    <row r="18" spans="1:10" x14ac:dyDescent="0.4">
      <c r="A18" t="str">
        <v>De Filippo</v>
      </c>
      <c r="B18" t="str">
        <v>Emma</v>
      </c>
      <c r="D18" s="2" t="str" cm="1">
        <f t="array" ref="D18">_xlfn.XLOOKUP(C18,Table6[Dimanche],Table6[[Début]:[Fin]],"")</f>
        <v/>
      </c>
      <c r="G18" s="2" t="str" cm="1">
        <f t="array" ref="G18">_xlfn.XLOOKUP(F18,Table6[Dimanche],Table6[[Début]:[Fin]],"")</f>
        <v/>
      </c>
      <c r="J18" s="2" t="str" cm="1">
        <f t="array" ref="J18">_xlfn.XLOOKUP(I18,Table6[Dimanche],Table6[[Début]:[Fin]],"")</f>
        <v/>
      </c>
    </row>
    <row r="19" spans="1:10" x14ac:dyDescent="0.4">
      <c r="A19" t="str">
        <v>Prouvost</v>
      </c>
      <c r="B19" t="str">
        <v>Eugénie</v>
      </c>
      <c r="D19" s="2" t="str" cm="1">
        <f t="array" ref="D19">_xlfn.XLOOKUP(C19,Table6[Dimanche],Table6[[Début]:[Fin]],"")</f>
        <v/>
      </c>
      <c r="G19" s="2" t="str" cm="1">
        <f t="array" ref="G19">_xlfn.XLOOKUP(F19,Table6[Dimanche],Table6[[Début]:[Fin]],"")</f>
        <v/>
      </c>
      <c r="J19" s="2" t="str" cm="1">
        <f t="array" ref="J19">_xlfn.XLOOKUP(I19,Table6[Dimanche],Table6[[Début]:[Fin]],"")</f>
        <v/>
      </c>
    </row>
    <row r="20" spans="1:10" x14ac:dyDescent="0.4">
      <c r="A20" t="str">
        <v xml:space="preserve">Rakotonandrasana </v>
      </c>
      <c r="B20" t="str">
        <v>Iris</v>
      </c>
      <c r="D20" s="2" t="str" cm="1">
        <f t="array" ref="D20">_xlfn.XLOOKUP(C20,Table6[Dimanche],Table6[[Début]:[Fin]],"")</f>
        <v/>
      </c>
      <c r="G20" s="2" t="str" cm="1">
        <f t="array" ref="G20">_xlfn.XLOOKUP(F20,Table6[Dimanche],Table6[[Début]:[Fin]],"")</f>
        <v/>
      </c>
      <c r="J20" s="2" t="str" cm="1">
        <f t="array" ref="J20">_xlfn.XLOOKUP(I20,Table6[Dimanche],Table6[[Début]:[Fin]],"")</f>
        <v/>
      </c>
    </row>
    <row r="21" spans="1:10" x14ac:dyDescent="0.4">
      <c r="A21" t="str">
        <v>Bürgisser</v>
      </c>
      <c r="B21" t="str">
        <v>Jamilah</v>
      </c>
      <c r="D21" s="2" t="str" cm="1">
        <f t="array" ref="D21">_xlfn.XLOOKUP(C21,Table6[Dimanche],Table6[[Début]:[Fin]],"")</f>
        <v/>
      </c>
      <c r="G21" s="2" t="str" cm="1">
        <f t="array" ref="G21">_xlfn.XLOOKUP(F21,Table6[Dimanche],Table6[[Début]:[Fin]],"")</f>
        <v/>
      </c>
      <c r="J21" s="2" t="str" cm="1">
        <f t="array" ref="J21">_xlfn.XLOOKUP(I21,Table6[Dimanche],Table6[[Début]:[Fin]],"")</f>
        <v/>
      </c>
    </row>
    <row r="22" spans="1:10" x14ac:dyDescent="0.4">
      <c r="A22" t="str">
        <v>Ruscio</v>
      </c>
      <c r="B22" t="str">
        <v>Jolan</v>
      </c>
      <c r="D22" s="2" t="str" cm="1">
        <f t="array" ref="D22">_xlfn.XLOOKUP(C22,Table6[Dimanche],Table6[[Début]:[Fin]],"")</f>
        <v/>
      </c>
      <c r="G22" s="2" t="str" cm="1">
        <f t="array" ref="G22">_xlfn.XLOOKUP(F22,Table6[Dimanche],Table6[[Début]:[Fin]],"")</f>
        <v/>
      </c>
      <c r="J22" s="2" t="str" cm="1">
        <f t="array" ref="J22">_xlfn.XLOOKUP(I22,Table6[Dimanche],Table6[[Début]:[Fin]],"")</f>
        <v/>
      </c>
    </row>
    <row r="23" spans="1:10" x14ac:dyDescent="0.4">
      <c r="A23" t="str">
        <v>Wuilloud</v>
      </c>
      <c r="B23" t="str">
        <v xml:space="preserve">Jonas </v>
      </c>
      <c r="D23" s="2" t="str" cm="1">
        <f t="array" ref="D23">_xlfn.XLOOKUP(C23,Table6[Dimanche],Table6[[Début]:[Fin]],"")</f>
        <v/>
      </c>
      <c r="G23" s="2" t="str" cm="1">
        <f t="array" ref="G23">_xlfn.XLOOKUP(F23,Table6[Dimanche],Table6[[Début]:[Fin]],"")</f>
        <v/>
      </c>
      <c r="J23" s="2" t="str" cm="1">
        <f t="array" ref="J23">_xlfn.XLOOKUP(I23,Table6[Dimanche],Table6[[Début]:[Fin]],"")</f>
        <v/>
      </c>
    </row>
    <row r="24" spans="1:10" x14ac:dyDescent="0.4">
      <c r="A24" t="str">
        <v>Pirolley</v>
      </c>
      <c r="B24" t="str">
        <v>Jules</v>
      </c>
      <c r="D24" s="2" t="str" cm="1">
        <f t="array" ref="D24">_xlfn.XLOOKUP(C24,Table6[Dimanche],Table6[[Début]:[Fin]],"")</f>
        <v/>
      </c>
      <c r="G24" s="2" t="str" cm="1">
        <f t="array" ref="G24">_xlfn.XLOOKUP(F24,Table6[Dimanche],Table6[[Début]:[Fin]],"")</f>
        <v/>
      </c>
      <c r="J24" s="2" t="str" cm="1">
        <f t="array" ref="J24">_xlfn.XLOOKUP(I24,Table6[Dimanche],Table6[[Début]:[Fin]],"")</f>
        <v/>
      </c>
    </row>
    <row r="25" spans="1:10" x14ac:dyDescent="0.4">
      <c r="A25" t="str">
        <v>Chavaillaz</v>
      </c>
      <c r="B25" t="str">
        <v>Julie</v>
      </c>
      <c r="D25" s="2" t="str" cm="1">
        <f t="array" ref="D25">_xlfn.XLOOKUP(C25,Table6[Dimanche],Table6[[Début]:[Fin]],"")</f>
        <v/>
      </c>
      <c r="G25" s="2" t="str" cm="1">
        <f t="array" ref="G25">_xlfn.XLOOKUP(F25,Table6[Dimanche],Table6[[Début]:[Fin]],"")</f>
        <v/>
      </c>
      <c r="J25" s="2" t="str" cm="1">
        <f t="array" ref="J25">_xlfn.XLOOKUP(I25,Table6[Dimanche],Table6[[Début]:[Fin]],"")</f>
        <v/>
      </c>
    </row>
    <row r="26" spans="1:10" x14ac:dyDescent="0.4">
      <c r="A26" t="str">
        <v>Oeschger</v>
      </c>
      <c r="B26" t="str">
        <v>Kristel</v>
      </c>
      <c r="D26" s="2" t="str" cm="1">
        <f t="array" ref="D26">_xlfn.XLOOKUP(C26,Table6[Dimanche],Table6[[Début]:[Fin]],"")</f>
        <v/>
      </c>
      <c r="G26" s="2" t="str" cm="1">
        <f t="array" ref="G26">_xlfn.XLOOKUP(F26,Table6[Dimanche],Table6[[Début]:[Fin]],"")</f>
        <v/>
      </c>
      <c r="J26" s="2" t="str" cm="1">
        <f t="array" ref="J26">_xlfn.XLOOKUP(I26,Table6[Dimanche],Table6[[Début]:[Fin]],"")</f>
        <v/>
      </c>
    </row>
    <row r="27" spans="1:10" x14ac:dyDescent="0.4">
      <c r="A27" t="str">
        <v>Baltzinger</v>
      </c>
      <c r="B27" t="str">
        <v>Léa</v>
      </c>
      <c r="D27" s="2" t="str" cm="1">
        <f t="array" ref="D27">_xlfn.XLOOKUP(C27,Table6[Dimanche],Table6[[Début]:[Fin]],"")</f>
        <v/>
      </c>
      <c r="G27" s="2" t="str" cm="1">
        <f t="array" ref="G27">_xlfn.XLOOKUP(F27,Table6[Dimanche],Table6[[Début]:[Fin]],"")</f>
        <v/>
      </c>
      <c r="J27" s="2" t="str" cm="1">
        <f t="array" ref="J27">_xlfn.XLOOKUP(I27,Table6[Dimanche],Table6[[Début]:[Fin]],"")</f>
        <v/>
      </c>
    </row>
    <row r="28" spans="1:10" x14ac:dyDescent="0.4">
      <c r="A28" t="str">
        <v>Chambaz</v>
      </c>
      <c r="B28" t="str">
        <v>Léa</v>
      </c>
      <c r="D28" s="2" t="str" cm="1">
        <f t="array" ref="D28">_xlfn.XLOOKUP(C28,Table6[Dimanche],Table6[[Début]:[Fin]],"")</f>
        <v/>
      </c>
      <c r="G28" s="2" t="str" cm="1">
        <f t="array" ref="G28">_xlfn.XLOOKUP(F28,Table6[Dimanche],Table6[[Début]:[Fin]],"")</f>
        <v/>
      </c>
      <c r="J28" s="2" t="str" cm="1">
        <f t="array" ref="J28">_xlfn.XLOOKUP(I28,Table6[Dimanche],Table6[[Début]:[Fin]],"")</f>
        <v/>
      </c>
    </row>
    <row r="29" spans="1:10" x14ac:dyDescent="0.4">
      <c r="A29" t="str">
        <v>Jaquet</v>
      </c>
      <c r="B29" t="str">
        <v>Lisa</v>
      </c>
      <c r="D29" s="2" t="str" cm="1">
        <f t="array" ref="D29">_xlfn.XLOOKUP(C29,Table6[Dimanche],Table6[[Début]:[Fin]],"")</f>
        <v/>
      </c>
      <c r="G29" s="2" t="str" cm="1">
        <f t="array" ref="G29">_xlfn.XLOOKUP(F29,Table6[Dimanche],Table6[[Début]:[Fin]],"")</f>
        <v/>
      </c>
      <c r="J29" s="2" t="str" cm="1">
        <f t="array" ref="J29">_xlfn.XLOOKUP(I29,Table6[Dimanche],Table6[[Début]:[Fin]],"")</f>
        <v/>
      </c>
    </row>
    <row r="30" spans="1:10" x14ac:dyDescent="0.4">
      <c r="A30" t="str">
        <v>Magnin</v>
      </c>
      <c r="B30" t="str">
        <v>Lisa</v>
      </c>
      <c r="D30" s="2" t="str" cm="1">
        <f t="array" ref="D30">_xlfn.XLOOKUP(C30,Table6[Dimanche],Table6[[Début]:[Fin]],"")</f>
        <v/>
      </c>
      <c r="G30" s="2" t="str" cm="1">
        <f t="array" ref="G30">_xlfn.XLOOKUP(F30,Table6[Dimanche],Table6[[Début]:[Fin]],"")</f>
        <v/>
      </c>
      <c r="J30" s="2" t="str" cm="1">
        <f t="array" ref="J30">_xlfn.XLOOKUP(I30,Table6[Dimanche],Table6[[Début]:[Fin]],"")</f>
        <v/>
      </c>
    </row>
    <row r="31" spans="1:10" x14ac:dyDescent="0.4">
      <c r="A31" t="str">
        <v>Cardis</v>
      </c>
      <c r="B31" t="str">
        <v>Louis</v>
      </c>
      <c r="D31" s="2" t="str" cm="1">
        <f t="array" ref="D31">_xlfn.XLOOKUP(C31,Table6[Dimanche],Table6[[Début]:[Fin]],"")</f>
        <v/>
      </c>
      <c r="G31" s="2" t="str" cm="1">
        <f t="array" ref="G31">_xlfn.XLOOKUP(F31,Table6[Dimanche],Table6[[Début]:[Fin]],"")</f>
        <v/>
      </c>
      <c r="J31" s="2" t="str" cm="1">
        <f t="array" ref="J31">_xlfn.XLOOKUP(I31,Table6[Dimanche],Table6[[Début]:[Fin]],"")</f>
        <v/>
      </c>
    </row>
    <row r="32" spans="1:10" x14ac:dyDescent="0.4">
      <c r="A32" t="str">
        <v>Post</v>
      </c>
      <c r="B32" t="str">
        <v>Louis</v>
      </c>
      <c r="D32" s="2" t="str" cm="1">
        <f t="array" ref="D32">_xlfn.XLOOKUP(C32,Table6[Dimanche],Table6[[Début]:[Fin]],"")</f>
        <v/>
      </c>
      <c r="G32" s="2" t="str" cm="1">
        <f t="array" ref="G32">_xlfn.XLOOKUP(F32,Table6[Dimanche],Table6[[Début]:[Fin]],"")</f>
        <v/>
      </c>
      <c r="J32" s="2" t="str" cm="1">
        <f t="array" ref="J32">_xlfn.XLOOKUP(I32,Table6[Dimanche],Table6[[Début]:[Fin]],"")</f>
        <v/>
      </c>
    </row>
    <row r="33" spans="1:10" x14ac:dyDescent="0.4">
      <c r="A33" t="str">
        <v>Blanchard</v>
      </c>
      <c r="B33" t="str">
        <v>Louise</v>
      </c>
      <c r="D33" s="2" t="str" cm="1">
        <f t="array" ref="D33">_xlfn.XLOOKUP(C33,Table6[Dimanche],Table6[[Début]:[Fin]],"")</f>
        <v/>
      </c>
      <c r="G33" s="2" t="str" cm="1">
        <f t="array" ref="G33">_xlfn.XLOOKUP(F33,Table6[Dimanche],Table6[[Début]:[Fin]],"")</f>
        <v/>
      </c>
      <c r="J33" s="2" t="str" cm="1">
        <f t="array" ref="J33">_xlfn.XLOOKUP(I33,Table6[Dimanche],Table6[[Début]:[Fin]],"")</f>
        <v/>
      </c>
    </row>
    <row r="34" spans="1:10" x14ac:dyDescent="0.4">
      <c r="A34" t="str">
        <v>Chastroux</v>
      </c>
      <c r="B34" t="str">
        <v>Lucas</v>
      </c>
      <c r="D34" s="2" t="str" cm="1">
        <f t="array" ref="D34">_xlfn.XLOOKUP(C34,Table6[Dimanche],Table6[[Début]:[Fin]],"")</f>
        <v/>
      </c>
      <c r="G34" s="2" t="str" cm="1">
        <f t="array" ref="G34">_xlfn.XLOOKUP(F34,Table6[Dimanche],Table6[[Début]:[Fin]],"")</f>
        <v/>
      </c>
      <c r="J34" s="2" t="str" cm="1">
        <f t="array" ref="J34">_xlfn.XLOOKUP(I34,Table6[Dimanche],Table6[[Début]:[Fin]],"")</f>
        <v/>
      </c>
    </row>
    <row r="35" spans="1:10" x14ac:dyDescent="0.4">
      <c r="A35" t="str">
        <v>Meyer</v>
      </c>
      <c r="B35" t="str">
        <v>Lucie</v>
      </c>
      <c r="D35" s="2" t="str" cm="1">
        <f t="array" ref="D35">_xlfn.XLOOKUP(C35,Table6[Dimanche],Table6[[Début]:[Fin]],"")</f>
        <v/>
      </c>
      <c r="G35" s="2" t="str" cm="1">
        <f t="array" ref="G35">_xlfn.XLOOKUP(F35,Table6[Dimanche],Table6[[Début]:[Fin]],"")</f>
        <v/>
      </c>
      <c r="J35" s="2" t="str" cm="1">
        <f t="array" ref="J35">_xlfn.XLOOKUP(I35,Table6[Dimanche],Table6[[Début]:[Fin]],"")</f>
        <v/>
      </c>
    </row>
    <row r="36" spans="1:10" x14ac:dyDescent="0.4">
      <c r="A36" t="str">
        <v>Ménétrey</v>
      </c>
      <c r="B36" t="str">
        <v>Maëlan</v>
      </c>
      <c r="D36" s="2" t="str" cm="1">
        <f t="array" ref="D36">_xlfn.XLOOKUP(C36,Table6[Dimanche],Table6[[Début]:[Fin]],"")</f>
        <v/>
      </c>
      <c r="G36" s="2" t="str" cm="1">
        <f t="array" ref="G36">_xlfn.XLOOKUP(F36,Table6[Dimanche],Table6[[Début]:[Fin]],"")</f>
        <v/>
      </c>
      <c r="J36" s="2" t="str" cm="1">
        <f t="array" ref="J36">_xlfn.XLOOKUP(I36,Table6[Dimanche],Table6[[Début]:[Fin]],"")</f>
        <v/>
      </c>
    </row>
    <row r="37" spans="1:10" x14ac:dyDescent="0.4">
      <c r="A37" t="str">
        <v>Chambaz</v>
      </c>
      <c r="B37" t="str">
        <v>Maëlle</v>
      </c>
      <c r="D37" s="2" t="str" cm="1">
        <f t="array" ref="D37">_xlfn.XLOOKUP(C37,Table6[Dimanche],Table6[[Début]:[Fin]],"")</f>
        <v/>
      </c>
      <c r="G37" s="2" t="str" cm="1">
        <f t="array" ref="G37">_xlfn.XLOOKUP(F37,Table6[Dimanche],Table6[[Début]:[Fin]],"")</f>
        <v/>
      </c>
      <c r="J37" s="2" t="str" cm="1">
        <f t="array" ref="J37">_xlfn.XLOOKUP(I37,Table6[Dimanche],Table6[[Début]:[Fin]],"")</f>
        <v/>
      </c>
    </row>
    <row r="38" spans="1:10" x14ac:dyDescent="0.4">
      <c r="A38" t="str">
        <v>Felix</v>
      </c>
      <c r="B38" t="str">
        <v>Marius</v>
      </c>
      <c r="D38" s="2" t="str" cm="1">
        <f t="array" ref="D38">_xlfn.XLOOKUP(C38,Table6[Dimanche],Table6[[Début]:[Fin]],"")</f>
        <v/>
      </c>
      <c r="G38" s="2" t="str" cm="1">
        <f t="array" ref="G38">_xlfn.XLOOKUP(F38,Table6[Dimanche],Table6[[Début]:[Fin]],"")</f>
        <v/>
      </c>
      <c r="J38" s="2" t="str" cm="1">
        <f t="array" ref="J38">_xlfn.XLOOKUP(I38,Table6[Dimanche],Table6[[Début]:[Fin]],"")</f>
        <v/>
      </c>
    </row>
    <row r="39" spans="1:10" x14ac:dyDescent="0.4">
      <c r="A39" t="str">
        <v>Ledru</v>
      </c>
      <c r="B39" t="str">
        <v>Marot</v>
      </c>
      <c r="D39" s="2" t="str" cm="1">
        <f t="array" ref="D39">_xlfn.XLOOKUP(C39,Table6[Dimanche],Table6[[Début]:[Fin]],"")</f>
        <v/>
      </c>
      <c r="G39" s="2" t="str" cm="1">
        <f t="array" ref="G39">_xlfn.XLOOKUP(F39,Table6[Dimanche],Table6[[Début]:[Fin]],"")</f>
        <v/>
      </c>
      <c r="J39" s="2" t="str" cm="1">
        <f t="array" ref="J39">_xlfn.XLOOKUP(I39,Table6[Dimanche],Table6[[Début]:[Fin]],"")</f>
        <v/>
      </c>
    </row>
    <row r="40" spans="1:10" x14ac:dyDescent="0.4">
      <c r="A40" t="str">
        <v>Cuinet</v>
      </c>
      <c r="B40" t="str">
        <v>Mathis</v>
      </c>
      <c r="D40" s="2" t="str" cm="1">
        <f t="array" ref="D40">_xlfn.XLOOKUP(C40,Table6[Dimanche],Table6[[Début]:[Fin]],"")</f>
        <v/>
      </c>
      <c r="G40" s="2" t="str" cm="1">
        <f t="array" ref="G40">_xlfn.XLOOKUP(F40,Table6[Dimanche],Table6[[Début]:[Fin]],"")</f>
        <v/>
      </c>
      <c r="J40" s="2" t="str" cm="1">
        <f t="array" ref="J40">_xlfn.XLOOKUP(I40,Table6[Dimanche],Table6[[Début]:[Fin]],"")</f>
        <v/>
      </c>
    </row>
    <row r="41" spans="1:10" x14ac:dyDescent="0.4">
      <c r="A41" t="str">
        <v>Gavin</v>
      </c>
      <c r="B41" t="str">
        <v>Matteo</v>
      </c>
      <c r="D41" s="2" t="str" cm="1">
        <f t="array" ref="D41">_xlfn.XLOOKUP(C41,Table6[Dimanche],Table6[[Début]:[Fin]],"")</f>
        <v/>
      </c>
      <c r="G41" s="2" t="str" cm="1">
        <f t="array" ref="G41">_xlfn.XLOOKUP(F41,Table6[Dimanche],Table6[[Début]:[Fin]],"")</f>
        <v/>
      </c>
      <c r="J41" s="2" t="str" cm="1">
        <f t="array" ref="J41">_xlfn.XLOOKUP(I41,Table6[Dimanche],Table6[[Début]:[Fin]],"")</f>
        <v/>
      </c>
    </row>
    <row r="42" spans="1:10" x14ac:dyDescent="0.4">
      <c r="A42" t="str">
        <v>Debray</v>
      </c>
      <c r="B42" t="str">
        <v>Maxime</v>
      </c>
      <c r="D42" s="2" t="str" cm="1">
        <f t="array" ref="D42">_xlfn.XLOOKUP(C42,Table6[Dimanche],Table6[[Début]:[Fin]],"")</f>
        <v/>
      </c>
      <c r="G42" s="2" t="str" cm="1">
        <f t="array" ref="G42">_xlfn.XLOOKUP(F42,Table6[Dimanche],Table6[[Début]:[Fin]],"")</f>
        <v/>
      </c>
      <c r="J42" s="2" t="str" cm="1">
        <f t="array" ref="J42">_xlfn.XLOOKUP(I42,Table6[Dimanche],Table6[[Début]:[Fin]],"")</f>
        <v/>
      </c>
    </row>
    <row r="43" spans="1:10" x14ac:dyDescent="0.4">
      <c r="A43" t="str">
        <v>Corbelli</v>
      </c>
      <c r="B43" t="str">
        <v>Maya</v>
      </c>
      <c r="D43" s="2" t="str" cm="1">
        <f t="array" ref="D43">_xlfn.XLOOKUP(C43,Table6[Dimanche],Table6[[Début]:[Fin]],"")</f>
        <v/>
      </c>
      <c r="G43" s="2" t="str" cm="1">
        <f t="array" ref="G43">_xlfn.XLOOKUP(F43,Table6[Dimanche],Table6[[Début]:[Fin]],"")</f>
        <v/>
      </c>
      <c r="J43" s="2" t="str" cm="1">
        <f t="array" ref="J43">_xlfn.XLOOKUP(I43,Table6[Dimanche],Table6[[Début]:[Fin]],"")</f>
        <v/>
      </c>
    </row>
    <row r="44" spans="1:10" x14ac:dyDescent="0.4">
      <c r="A44" t="str">
        <v>Pasche</v>
      </c>
      <c r="B44" t="str">
        <v>Mickaël</v>
      </c>
      <c r="D44" s="2" t="str" cm="1">
        <f t="array" ref="D44">_xlfn.XLOOKUP(C44,Table6[Dimanche],Table6[[Début]:[Fin]],"")</f>
        <v/>
      </c>
      <c r="G44" s="2" t="str" cm="1">
        <f t="array" ref="G44">_xlfn.XLOOKUP(F44,Table6[Dimanche],Table6[[Début]:[Fin]],"")</f>
        <v/>
      </c>
      <c r="J44" s="2" t="str" cm="1">
        <f t="array" ref="J44">_xlfn.XLOOKUP(I44,Table6[Dimanche],Table6[[Début]:[Fin]],"")</f>
        <v/>
      </c>
    </row>
    <row r="45" spans="1:10" x14ac:dyDescent="0.4">
      <c r="A45" t="str">
        <v>Ménard</v>
      </c>
      <c r="B45" t="str">
        <v>Mireille</v>
      </c>
      <c r="D45" s="2" t="str" cm="1">
        <f t="array" ref="D45">_xlfn.XLOOKUP(C45,Table6[Dimanche],Table6[[Début]:[Fin]],"")</f>
        <v/>
      </c>
      <c r="G45" s="2" t="str" cm="1">
        <f t="array" ref="G45">_xlfn.XLOOKUP(F45,Table6[Dimanche],Table6[[Début]:[Fin]],"")</f>
        <v/>
      </c>
      <c r="J45" s="2" t="str" cm="1">
        <f t="array" ref="J45">_xlfn.XLOOKUP(I45,Table6[Dimanche],Table6[[Début]:[Fin]],"")</f>
        <v/>
      </c>
    </row>
    <row r="46" spans="1:10" x14ac:dyDescent="0.4">
      <c r="A46" t="str">
        <v>Fargues</v>
      </c>
      <c r="B46" t="str">
        <v>Morgana</v>
      </c>
      <c r="D46" s="2" t="str" cm="1">
        <f t="array" ref="D46">_xlfn.XLOOKUP(C46,Table6[Dimanche],Table6[[Début]:[Fin]],"")</f>
        <v/>
      </c>
      <c r="G46" s="2" t="str" cm="1">
        <f t="array" ref="G46">_xlfn.XLOOKUP(F46,Table6[Dimanche],Table6[[Début]:[Fin]],"")</f>
        <v/>
      </c>
      <c r="J46" s="2" t="str" cm="1">
        <f t="array" ref="J46">_xlfn.XLOOKUP(I46,Table6[Dimanche],Table6[[Début]:[Fin]],"")</f>
        <v/>
      </c>
    </row>
    <row r="47" spans="1:10" x14ac:dyDescent="0.4">
      <c r="A47" t="str">
        <v>Scyboz (Lambelet)</v>
      </c>
      <c r="B47" t="str">
        <v>Morgane</v>
      </c>
      <c r="D47" s="2" t="str" cm="1">
        <f t="array" ref="D47">_xlfn.XLOOKUP(C47,Table6[Dimanche],Table6[[Début]:[Fin]],"")</f>
        <v/>
      </c>
      <c r="G47" s="2" t="str" cm="1">
        <f t="array" ref="G47">_xlfn.XLOOKUP(F47,Table6[Dimanche],Table6[[Début]:[Fin]],"")</f>
        <v/>
      </c>
      <c r="J47" s="2" t="str" cm="1">
        <f t="array" ref="J47">_xlfn.XLOOKUP(I47,Table6[Dimanche],Table6[[Début]:[Fin]],"")</f>
        <v/>
      </c>
    </row>
    <row r="48" spans="1:10" x14ac:dyDescent="0.4">
      <c r="A48" t="str">
        <v>Koux</v>
      </c>
      <c r="B48" t="str">
        <v>Nathalia</v>
      </c>
      <c r="D48" s="2" t="str" cm="1">
        <f t="array" ref="D48">_xlfn.XLOOKUP(C48,Table6[Dimanche],Table6[[Début]:[Fin]],"")</f>
        <v/>
      </c>
      <c r="G48" s="2" t="str" cm="1">
        <f t="array" ref="G48">_xlfn.XLOOKUP(F48,Table6[Dimanche],Table6[[Début]:[Fin]],"")</f>
        <v/>
      </c>
      <c r="J48" s="2" t="str" cm="1">
        <f t="array" ref="J48">_xlfn.XLOOKUP(I48,Table6[Dimanche],Table6[[Début]:[Fin]],"")</f>
        <v/>
      </c>
    </row>
    <row r="49" spans="1:10" x14ac:dyDescent="0.4">
      <c r="A49" t="str">
        <v>Cherpillod</v>
      </c>
      <c r="B49" t="str">
        <v>Noah</v>
      </c>
      <c r="D49" s="2" t="str" cm="1">
        <f t="array" ref="D49">_xlfn.XLOOKUP(C49,Table6[Dimanche],Table6[[Début]:[Fin]],"")</f>
        <v/>
      </c>
      <c r="G49" s="2" t="str" cm="1">
        <f t="array" ref="G49">_xlfn.XLOOKUP(F49,Table6[Dimanche],Table6[[Début]:[Fin]],"")</f>
        <v/>
      </c>
      <c r="J49" s="2" t="str" cm="1">
        <f t="array" ref="J49">_xlfn.XLOOKUP(I49,Table6[Dimanche],Table6[[Début]:[Fin]],"")</f>
        <v/>
      </c>
    </row>
    <row r="50" spans="1:10" x14ac:dyDescent="0.4">
      <c r="A50" t="str">
        <v>Chambaz</v>
      </c>
      <c r="B50" t="str">
        <v>Patrick</v>
      </c>
      <c r="D50" s="2" t="str" cm="1">
        <f t="array" ref="D50">_xlfn.XLOOKUP(C50,Table6[Dimanche],Table6[[Début]:[Fin]],"")</f>
        <v/>
      </c>
      <c r="G50" s="2" t="str" cm="1">
        <f t="array" ref="G50">_xlfn.XLOOKUP(F50,Table6[Dimanche],Table6[[Début]:[Fin]],"")</f>
        <v/>
      </c>
      <c r="J50" s="2" t="str" cm="1">
        <f t="array" ref="J50">_xlfn.XLOOKUP(I50,Table6[Dimanche],Table6[[Début]:[Fin]],"")</f>
        <v/>
      </c>
    </row>
    <row r="51" spans="1:10" x14ac:dyDescent="0.4">
      <c r="A51" t="str">
        <v>Assaoui</v>
      </c>
      <c r="B51" t="str">
        <v>Rama</v>
      </c>
      <c r="D51" s="2" t="str" cm="1">
        <f t="array" ref="D51">_xlfn.XLOOKUP(C51,Table6[Dimanche],Table6[[Début]:[Fin]],"")</f>
        <v/>
      </c>
      <c r="G51" s="2" t="str" cm="1">
        <f t="array" ref="G51">_xlfn.XLOOKUP(F51,Table6[Dimanche],Table6[[Début]:[Fin]],"")</f>
        <v/>
      </c>
      <c r="J51" s="2" t="str" cm="1">
        <f t="array" ref="J51">_xlfn.XLOOKUP(I51,Table6[Dimanche],Table6[[Début]:[Fin]],"")</f>
        <v/>
      </c>
    </row>
    <row r="52" spans="1:10" x14ac:dyDescent="0.4">
      <c r="A52" t="str">
        <v>Lacroze</v>
      </c>
      <c r="B52" t="str">
        <v>Raphaël</v>
      </c>
      <c r="D52" s="2" t="str" cm="1">
        <f t="array" ref="D52">_xlfn.XLOOKUP(C52,Table6[Dimanche],Table6[[Début]:[Fin]],"")</f>
        <v/>
      </c>
      <c r="G52" s="2" t="str" cm="1">
        <f t="array" ref="G52">_xlfn.XLOOKUP(F52,Table6[Dimanche],Table6[[Début]:[Fin]],"")</f>
        <v/>
      </c>
      <c r="J52" s="2" t="str" cm="1">
        <f t="array" ref="J52">_xlfn.XLOOKUP(I52,Table6[Dimanche],Table6[[Début]:[Fin]],"")</f>
        <v/>
      </c>
    </row>
    <row r="53" spans="1:10" x14ac:dyDescent="0.4">
      <c r="A53" t="str">
        <v>Neidhart</v>
      </c>
      <c r="B53" t="str">
        <v>Raphaëlle</v>
      </c>
      <c r="D53" s="2" t="str" cm="1">
        <f t="array" ref="D53">_xlfn.XLOOKUP(C53,Table6[Dimanche],Table6[[Début]:[Fin]],"")</f>
        <v/>
      </c>
      <c r="G53" s="2" t="str" cm="1">
        <f t="array" ref="G53">_xlfn.XLOOKUP(F53,Table6[Dimanche],Table6[[Début]:[Fin]],"")</f>
        <v/>
      </c>
      <c r="J53" s="2" t="str" cm="1">
        <f t="array" ref="J53">_xlfn.XLOOKUP(I53,Table6[Dimanche],Table6[[Début]:[Fin]],"")</f>
        <v/>
      </c>
    </row>
    <row r="54" spans="1:10" x14ac:dyDescent="0.4">
      <c r="A54" t="str">
        <v xml:space="preserve">Lanni </v>
      </c>
      <c r="B54" t="str">
        <v>Roxanne</v>
      </c>
      <c r="D54" s="2" t="str" cm="1">
        <f t="array" ref="D54">_xlfn.XLOOKUP(C54,Table6[Dimanche],Table6[[Début]:[Fin]],"")</f>
        <v/>
      </c>
      <c r="G54" s="2" t="str" cm="1">
        <f t="array" ref="G54">_xlfn.XLOOKUP(F54,Table6[Dimanche],Table6[[Début]:[Fin]],"")</f>
        <v/>
      </c>
      <c r="J54" s="2" t="str" cm="1">
        <f t="array" ref="J54">_xlfn.XLOOKUP(I54,Table6[Dimanche],Table6[[Début]:[Fin]],"")</f>
        <v/>
      </c>
    </row>
    <row r="55" spans="1:10" x14ac:dyDescent="0.4">
      <c r="A55" t="str">
        <v>Schiesser</v>
      </c>
      <c r="B55" t="str">
        <v>Sébastien</v>
      </c>
      <c r="D55" s="2" t="str" cm="1">
        <f t="array" ref="D55">_xlfn.XLOOKUP(C55,Table6[Dimanche],Table6[[Début]:[Fin]],"")</f>
        <v/>
      </c>
      <c r="G55" s="2" t="str" cm="1">
        <f t="array" ref="G55">_xlfn.XLOOKUP(F55,Table6[Dimanche],Table6[[Début]:[Fin]],"")</f>
        <v/>
      </c>
      <c r="J55" s="2" t="str" cm="1">
        <f t="array" ref="J55">_xlfn.XLOOKUP(I55,Table6[Dimanche],Table6[[Début]:[Fin]],"")</f>
        <v/>
      </c>
    </row>
    <row r="56" spans="1:10" x14ac:dyDescent="0.4">
      <c r="A56" t="str">
        <v>Lambelet</v>
      </c>
      <c r="B56" t="str">
        <v>Simon</v>
      </c>
      <c r="D56" s="2" t="str" cm="1">
        <f t="array" ref="D56">_xlfn.XLOOKUP(C56,Table6[Dimanche],Table6[[Début]:[Fin]],"")</f>
        <v/>
      </c>
      <c r="G56" s="2" t="str" cm="1">
        <f t="array" ref="G56">_xlfn.XLOOKUP(F56,Table6[Dimanche],Table6[[Début]:[Fin]],"")</f>
        <v/>
      </c>
      <c r="J56" s="2" t="str" cm="1">
        <f t="array" ref="J56">_xlfn.XLOOKUP(I56,Table6[Dimanche],Table6[[Début]:[Fin]],"")</f>
        <v/>
      </c>
    </row>
    <row r="57" spans="1:10" x14ac:dyDescent="0.4">
      <c r="A57" t="str">
        <v>Cyprien</v>
      </c>
      <c r="B57" t="str">
        <v>Theo</v>
      </c>
      <c r="D57" s="2" t="str" cm="1">
        <f t="array" ref="D57">_xlfn.XLOOKUP(C57,Table6[Dimanche],Table6[[Début]:[Fin]],"")</f>
        <v/>
      </c>
      <c r="G57" s="2" t="str" cm="1">
        <f t="array" ref="G57">_xlfn.XLOOKUP(F57,Table6[Dimanche],Table6[[Début]:[Fin]],"")</f>
        <v/>
      </c>
      <c r="J57" s="2" t="str" cm="1">
        <f t="array" ref="J57">_xlfn.XLOOKUP(I57,Table6[Dimanche],Table6[[Début]:[Fin]],"")</f>
        <v/>
      </c>
    </row>
    <row r="58" spans="1:10" x14ac:dyDescent="0.4">
      <c r="A58" t="str">
        <v>Clerici</v>
      </c>
      <c r="B58" t="str">
        <v>Thibault</v>
      </c>
      <c r="D58" s="2" t="str" cm="1">
        <f t="array" ref="D58">_xlfn.XLOOKUP(C58,Table6[Dimanche],Table6[[Début]:[Fin]],"")</f>
        <v/>
      </c>
      <c r="G58" s="2" t="str" cm="1">
        <f t="array" ref="G58">_xlfn.XLOOKUP(F58,Table6[Dimanche],Table6[[Début]:[Fin]],"")</f>
        <v/>
      </c>
      <c r="J58" s="2" t="str" cm="1">
        <f t="array" ref="J58">_xlfn.XLOOKUP(I58,Table6[Dimanche],Table6[[Début]:[Fin]],"")</f>
        <v/>
      </c>
    </row>
    <row r="59" spans="1:10" x14ac:dyDescent="0.4">
      <c r="A59" t="str">
        <v>Lagier</v>
      </c>
      <c r="B59" t="str">
        <v>Tician</v>
      </c>
      <c r="D59" s="2" t="str" cm="1">
        <f t="array" ref="D59">_xlfn.XLOOKUP(C59,Table6[Dimanche],Table6[[Début]:[Fin]],"")</f>
        <v/>
      </c>
      <c r="G59" s="2" t="str" cm="1">
        <f t="array" ref="G59">_xlfn.XLOOKUP(F59,Table6[Dimanche],Table6[[Début]:[Fin]],"")</f>
        <v/>
      </c>
      <c r="J59" s="2" t="str" cm="1">
        <f t="array" ref="J59">_xlfn.XLOOKUP(I59,Table6[Dimanche],Table6[[Début]:[Fin]],"")</f>
        <v/>
      </c>
    </row>
    <row r="60" spans="1:10" x14ac:dyDescent="0.4">
      <c r="A60" t="str">
        <v>Ménétrey</v>
      </c>
      <c r="B60" t="str">
        <v>Titouan</v>
      </c>
      <c r="D60" s="2" t="str" cm="1">
        <f t="array" ref="D60">_xlfn.XLOOKUP(C60,Table6[Dimanche],Table6[[Début]:[Fin]],"")</f>
        <v/>
      </c>
      <c r="G60" s="2" t="str" cm="1">
        <f t="array" ref="G60">_xlfn.XLOOKUP(F60,Table6[Dimanche],Table6[[Début]:[Fin]],"")</f>
        <v/>
      </c>
      <c r="J60" s="2" t="str" cm="1">
        <f t="array" ref="J60">_xlfn.XLOOKUP(I60,Table6[Dimanche],Table6[[Début]:[Fin]],"")</f>
        <v/>
      </c>
    </row>
    <row r="61" spans="1:10" x14ac:dyDescent="0.4">
      <c r="A61" t="str">
        <v>Clerici</v>
      </c>
      <c r="B61" t="str">
        <v>Tristan</v>
      </c>
      <c r="D61" s="2" t="str" cm="1">
        <f t="array" ref="D61">_xlfn.XLOOKUP(C61,Table6[Dimanche],Table6[[Début]:[Fin]],"")</f>
        <v/>
      </c>
      <c r="G61" s="2" t="str" cm="1">
        <f t="array" ref="G61">_xlfn.XLOOKUP(F61,Table6[Dimanche],Table6[[Début]:[Fin]],"")</f>
        <v/>
      </c>
      <c r="J61" s="2" t="str" cm="1">
        <f t="array" ref="J61">_xlfn.XLOOKUP(I61,Table6[Dimanche],Table6[[Début]:[Fin]],"")</f>
        <v/>
      </c>
    </row>
    <row r="62" spans="1:10" x14ac:dyDescent="0.4">
      <c r="A62" t="str">
        <v>Bally</v>
      </c>
      <c r="B62" t="str">
        <v>Yann</v>
      </c>
      <c r="D62" s="2" t="str" cm="1">
        <f t="array" ref="D62">_xlfn.XLOOKUP(C62,Table6[Dimanche],Table6[[Début]:[Fin]],"")</f>
        <v/>
      </c>
      <c r="G62" s="2" t="str" cm="1">
        <f t="array" ref="G62">_xlfn.XLOOKUP(F62,Table6[Dimanche],Table6[[Début]:[Fin]],"")</f>
        <v/>
      </c>
      <c r="J62" s="2" t="str" cm="1">
        <f t="array" ref="J62">_xlfn.XLOOKUP(I62,Table6[Dimanche],Table6[[Début]:[Fin]],"")</f>
        <v/>
      </c>
    </row>
    <row r="63" spans="1:10" x14ac:dyDescent="0.4">
      <c r="A63" t="str">
        <v>Ménétrey</v>
      </c>
      <c r="B63" t="str">
        <v>Ysatis</v>
      </c>
      <c r="D63" s="2" t="str" cm="1">
        <f t="array" ref="D63">_xlfn.XLOOKUP(C63,Table6[Dimanche],Table6[[Début]:[Fin]],"")</f>
        <v/>
      </c>
      <c r="G63" s="2" t="str" cm="1">
        <f t="array" ref="G63">_xlfn.XLOOKUP(F63,Table6[Dimanche],Table6[[Début]:[Fin]],"")</f>
        <v/>
      </c>
      <c r="J63" s="2" t="str" cm="1">
        <f t="array" ref="J63">_xlfn.XLOOKUP(I63,Table6[Dimanche],Table6[[Début]:[Fin]],"")</f>
        <v/>
      </c>
    </row>
  </sheetData>
  <sheetProtection sheet="1" objects="1" scenarios="1"/>
  <protectedRanges>
    <protectedRange sqref="F1:F1048576 I1:I1048576" name="Concerts2"/>
    <protectedRange sqref="C1:C1048576" name="Concerts1"/>
  </protectedRanges>
  <conditionalFormatting sqref="A2:XFD65">
    <cfRule type="expression" dxfId="1" priority="1">
      <formula>MOD(ROW(),2)=1</formula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389C5C-12D0-48D9-8D2C-258FFA120C30}">
          <x14:formula1>
            <xm:f>Concerts!$P$2:$P$17</xm:f>
          </x14:formula1>
          <xm:sqref>C2:C63 F2:F63 I2:I63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C0C7-6A47-4952-8780-A8F2D1E70EBF}">
  <dimension ref="A1:H45"/>
  <sheetViews>
    <sheetView tabSelected="1" workbookViewId="0">
      <selection activeCell="B45" sqref="B45"/>
    </sheetView>
  </sheetViews>
  <sheetFormatPr defaultRowHeight="14.6" x14ac:dyDescent="0.4"/>
  <cols>
    <col min="1" max="8" width="20" customWidth="1"/>
  </cols>
  <sheetData>
    <row r="1" spans="1:8" ht="19.3" x14ac:dyDescent="0.5">
      <c r="A1" s="16" t="s">
        <v>117</v>
      </c>
      <c r="B1" s="16" t="s">
        <v>118</v>
      </c>
      <c r="C1" s="16" t="s">
        <v>119</v>
      </c>
      <c r="D1" s="16" t="s">
        <v>120</v>
      </c>
      <c r="E1" s="16" t="s">
        <v>121</v>
      </c>
      <c r="F1" s="16" t="s">
        <v>122</v>
      </c>
      <c r="G1" s="16" t="s">
        <v>123</v>
      </c>
      <c r="H1" s="16" t="s">
        <v>124</v>
      </c>
    </row>
    <row r="2" spans="1:8" ht="25.75" x14ac:dyDescent="0.4">
      <c r="A2" s="17" t="s">
        <v>189</v>
      </c>
      <c r="B2" s="17" t="s">
        <v>190</v>
      </c>
      <c r="C2" s="17" t="s">
        <v>191</v>
      </c>
      <c r="D2" s="17" t="s">
        <v>192</v>
      </c>
      <c r="E2" s="17" t="s">
        <v>193</v>
      </c>
      <c r="F2" s="17" t="s">
        <v>194</v>
      </c>
      <c r="G2" s="17" t="s">
        <v>195</v>
      </c>
      <c r="H2" s="18" t="s">
        <v>129</v>
      </c>
    </row>
    <row r="3" spans="1:8" ht="25.75" x14ac:dyDescent="0.4">
      <c r="A3" s="17" t="s">
        <v>403</v>
      </c>
      <c r="B3" s="17" t="s">
        <v>404</v>
      </c>
      <c r="C3" s="17" t="s">
        <v>405</v>
      </c>
      <c r="D3" s="17" t="s">
        <v>406</v>
      </c>
      <c r="E3" s="17" t="s">
        <v>407</v>
      </c>
      <c r="F3" s="17" t="s">
        <v>408</v>
      </c>
      <c r="G3" s="17" t="s">
        <v>409</v>
      </c>
      <c r="H3" s="18" t="s">
        <v>129</v>
      </c>
    </row>
    <row r="4" spans="1:8" ht="25.75" x14ac:dyDescent="0.4">
      <c r="A4" s="17" t="s">
        <v>448</v>
      </c>
      <c r="B4" s="17" t="s">
        <v>442</v>
      </c>
      <c r="C4" s="17" t="s">
        <v>442</v>
      </c>
      <c r="D4" s="17" t="s">
        <v>442</v>
      </c>
      <c r="E4" s="17" t="s">
        <v>42</v>
      </c>
      <c r="F4" s="17" t="s">
        <v>25</v>
      </c>
      <c r="G4" s="17" t="s">
        <v>447</v>
      </c>
      <c r="H4" s="17" t="s">
        <v>340</v>
      </c>
    </row>
    <row r="5" spans="1:8" ht="50.6" x14ac:dyDescent="0.4">
      <c r="A5" s="17" t="s">
        <v>366</v>
      </c>
      <c r="B5" s="17" t="s">
        <v>367</v>
      </c>
      <c r="C5" s="17" t="s">
        <v>368</v>
      </c>
      <c r="D5" s="17" t="s">
        <v>369</v>
      </c>
      <c r="E5" s="17" t="s">
        <v>193</v>
      </c>
      <c r="F5" s="17" t="s">
        <v>370</v>
      </c>
      <c r="G5" s="17" t="s">
        <v>371</v>
      </c>
      <c r="H5" s="18" t="s">
        <v>129</v>
      </c>
    </row>
    <row r="6" spans="1:8" ht="25.75" x14ac:dyDescent="0.4">
      <c r="A6" s="17" t="s">
        <v>125</v>
      </c>
      <c r="B6" s="17" t="s">
        <v>326</v>
      </c>
      <c r="C6" s="17" t="s">
        <v>327</v>
      </c>
      <c r="D6" s="17" t="s">
        <v>328</v>
      </c>
      <c r="E6" s="17" t="s">
        <v>329</v>
      </c>
      <c r="F6" s="17" t="s">
        <v>330</v>
      </c>
      <c r="G6" s="17" t="s">
        <v>331</v>
      </c>
      <c r="H6" s="20" t="s">
        <v>332</v>
      </c>
    </row>
    <row r="7" spans="1:8" ht="25.75" x14ac:dyDescent="0.4">
      <c r="A7" s="17" t="s">
        <v>183</v>
      </c>
      <c r="B7" s="17" t="s">
        <v>184</v>
      </c>
      <c r="C7" s="17" t="s">
        <v>185</v>
      </c>
      <c r="D7" s="17" t="s">
        <v>186</v>
      </c>
      <c r="E7" s="17" t="s">
        <v>187</v>
      </c>
      <c r="F7" s="17" t="s">
        <v>337</v>
      </c>
      <c r="G7" s="17" t="s">
        <v>188</v>
      </c>
      <c r="H7" s="18" t="s">
        <v>129</v>
      </c>
    </row>
    <row r="8" spans="1:8" ht="25.75" x14ac:dyDescent="0.4">
      <c r="A8" s="17" t="s">
        <v>410</v>
      </c>
      <c r="B8" s="17" t="s">
        <v>411</v>
      </c>
      <c r="C8" s="17" t="s">
        <v>412</v>
      </c>
      <c r="D8" s="17" t="s">
        <v>413</v>
      </c>
      <c r="E8" s="17" t="s">
        <v>414</v>
      </c>
      <c r="F8" s="17" t="s">
        <v>415</v>
      </c>
      <c r="G8" s="17" t="s">
        <v>416</v>
      </c>
      <c r="H8" s="18" t="s">
        <v>129</v>
      </c>
    </row>
    <row r="9" spans="1:8" x14ac:dyDescent="0.4">
      <c r="A9" s="17" t="s">
        <v>423</v>
      </c>
      <c r="B9" s="17" t="s">
        <v>424</v>
      </c>
      <c r="C9" s="17" t="s">
        <v>425</v>
      </c>
      <c r="D9" s="17" t="s">
        <v>426</v>
      </c>
      <c r="E9" s="17" t="s">
        <v>427</v>
      </c>
      <c r="F9" s="17" t="s">
        <v>424</v>
      </c>
      <c r="G9" s="17" t="s">
        <v>428</v>
      </c>
      <c r="H9" s="17"/>
    </row>
    <row r="10" spans="1:8" ht="25.75" x14ac:dyDescent="0.4">
      <c r="A10" s="17" t="s">
        <v>441</v>
      </c>
      <c r="B10" s="17" t="s">
        <v>442</v>
      </c>
      <c r="C10" s="17" t="s">
        <v>356</v>
      </c>
      <c r="D10" s="17" t="s">
        <v>443</v>
      </c>
      <c r="E10" s="17" t="s">
        <v>444</v>
      </c>
      <c r="F10" s="17" t="s">
        <v>442</v>
      </c>
      <c r="G10" s="17" t="s">
        <v>168</v>
      </c>
      <c r="H10" s="18" t="s">
        <v>129</v>
      </c>
    </row>
    <row r="11" spans="1:8" ht="25.75" x14ac:dyDescent="0.4">
      <c r="A11" s="17" t="s">
        <v>397</v>
      </c>
      <c r="B11" s="17" t="s">
        <v>127</v>
      </c>
      <c r="C11" s="17" t="s">
        <v>398</v>
      </c>
      <c r="D11" s="17" t="s">
        <v>18</v>
      </c>
      <c r="E11" s="17" t="s">
        <v>23</v>
      </c>
      <c r="F11" s="17" t="s">
        <v>399</v>
      </c>
      <c r="G11" s="17" t="s">
        <v>27</v>
      </c>
      <c r="H11" s="17" t="s">
        <v>175</v>
      </c>
    </row>
    <row r="12" spans="1:8" ht="38.15" x14ac:dyDescent="0.4">
      <c r="A12" s="17" t="s">
        <v>140</v>
      </c>
      <c r="B12" s="17" t="s">
        <v>141</v>
      </c>
      <c r="C12" s="17" t="s">
        <v>142</v>
      </c>
      <c r="D12" s="17" t="s">
        <v>143</v>
      </c>
      <c r="E12" s="17" t="s">
        <v>144</v>
      </c>
      <c r="F12" s="17" t="s">
        <v>145</v>
      </c>
      <c r="G12" s="17" t="s">
        <v>113</v>
      </c>
      <c r="H12" s="18" t="s">
        <v>129</v>
      </c>
    </row>
    <row r="13" spans="1:8" ht="25.75" x14ac:dyDescent="0.4">
      <c r="A13" s="17" t="s">
        <v>388</v>
      </c>
      <c r="B13" s="17" t="s">
        <v>389</v>
      </c>
      <c r="C13" s="17" t="s">
        <v>390</v>
      </c>
      <c r="D13" s="17" t="s">
        <v>391</v>
      </c>
      <c r="E13" s="17" t="s">
        <v>379</v>
      </c>
      <c r="F13" s="17" t="s">
        <v>392</v>
      </c>
      <c r="G13" s="17" t="s">
        <v>393</v>
      </c>
      <c r="H13" s="18" t="s">
        <v>129</v>
      </c>
    </row>
    <row r="14" spans="1:8" x14ac:dyDescent="0.4">
      <c r="A14" s="17" t="s">
        <v>435</v>
      </c>
      <c r="B14" s="17" t="s">
        <v>436</v>
      </c>
      <c r="C14" s="17" t="s">
        <v>437</v>
      </c>
      <c r="D14" s="17" t="s">
        <v>61</v>
      </c>
      <c r="E14" s="17" t="s">
        <v>438</v>
      </c>
      <c r="F14" s="17" t="s">
        <v>439</v>
      </c>
      <c r="G14" s="17" t="s">
        <v>440</v>
      </c>
      <c r="H14" s="18" t="s">
        <v>129</v>
      </c>
    </row>
    <row r="15" spans="1:8" ht="25.75" x14ac:dyDescent="0.4">
      <c r="A15" s="17" t="s">
        <v>341</v>
      </c>
      <c r="B15" s="17" t="s">
        <v>342</v>
      </c>
      <c r="C15" s="17" t="s">
        <v>343</v>
      </c>
      <c r="D15" s="17" t="s">
        <v>344</v>
      </c>
      <c r="E15" s="17" t="s">
        <v>345</v>
      </c>
      <c r="F15" s="17" t="s">
        <v>346</v>
      </c>
      <c r="G15" s="17" t="s">
        <v>347</v>
      </c>
      <c r="H15" s="18" t="s">
        <v>129</v>
      </c>
    </row>
    <row r="16" spans="1:8" ht="38.15" x14ac:dyDescent="0.4">
      <c r="A16" s="17" t="s">
        <v>126</v>
      </c>
      <c r="B16" s="17" t="s">
        <v>333</v>
      </c>
      <c r="C16" s="17" t="s">
        <v>35</v>
      </c>
      <c r="D16" s="17" t="s">
        <v>128</v>
      </c>
      <c r="E16" s="17" t="s">
        <v>334</v>
      </c>
      <c r="F16" s="17" t="s">
        <v>335</v>
      </c>
      <c r="G16" s="17" t="s">
        <v>336</v>
      </c>
      <c r="H16" s="18" t="s">
        <v>129</v>
      </c>
    </row>
    <row r="17" spans="1:8" x14ac:dyDescent="0.4">
      <c r="A17" s="17" t="s">
        <v>138</v>
      </c>
      <c r="B17" s="17" t="s">
        <v>31</v>
      </c>
      <c r="C17" s="17" t="s">
        <v>35</v>
      </c>
      <c r="D17" s="17" t="s">
        <v>19</v>
      </c>
      <c r="E17" s="17"/>
      <c r="F17" s="17" t="s">
        <v>139</v>
      </c>
      <c r="G17" s="17"/>
      <c r="H17" s="18" t="s">
        <v>129</v>
      </c>
    </row>
    <row r="18" spans="1:8" ht="50.6" x14ac:dyDescent="0.4">
      <c r="A18" s="17" t="s">
        <v>429</v>
      </c>
      <c r="B18" s="17" t="s">
        <v>418</v>
      </c>
      <c r="C18" s="17" t="s">
        <v>430</v>
      </c>
      <c r="D18" s="17" t="s">
        <v>328</v>
      </c>
      <c r="E18" s="17" t="s">
        <v>431</v>
      </c>
      <c r="F18" s="17" t="s">
        <v>432</v>
      </c>
      <c r="G18" s="17" t="s">
        <v>433</v>
      </c>
      <c r="H18" s="21" t="s">
        <v>434</v>
      </c>
    </row>
    <row r="19" spans="1:8" ht="25.75" x14ac:dyDescent="0.4">
      <c r="A19" s="17" t="s">
        <v>196</v>
      </c>
      <c r="B19" s="17" t="s">
        <v>127</v>
      </c>
      <c r="C19" s="17"/>
      <c r="D19" s="17" t="s">
        <v>197</v>
      </c>
      <c r="E19" s="17"/>
      <c r="F19" s="17" t="s">
        <v>198</v>
      </c>
      <c r="G19" s="17" t="s">
        <v>199</v>
      </c>
      <c r="H19" s="18" t="s">
        <v>129</v>
      </c>
    </row>
    <row r="20" spans="1:8" x14ac:dyDescent="0.4">
      <c r="A20" s="17" t="s">
        <v>361</v>
      </c>
      <c r="B20" s="17" t="s">
        <v>362</v>
      </c>
      <c r="C20" s="17" t="s">
        <v>363</v>
      </c>
      <c r="D20" s="17" t="s">
        <v>20</v>
      </c>
      <c r="E20" s="17"/>
      <c r="F20" s="17" t="s">
        <v>364</v>
      </c>
      <c r="G20" s="17" t="s">
        <v>365</v>
      </c>
      <c r="H20" s="18" t="s">
        <v>129</v>
      </c>
    </row>
    <row r="21" spans="1:8" ht="38.15" x14ac:dyDescent="0.4">
      <c r="A21" s="17" t="s">
        <v>382</v>
      </c>
      <c r="B21" s="17" t="s">
        <v>383</v>
      </c>
      <c r="C21" s="17" t="s">
        <v>384</v>
      </c>
      <c r="D21" s="17" t="s">
        <v>385</v>
      </c>
      <c r="E21" s="17" t="s">
        <v>379</v>
      </c>
      <c r="F21" s="17" t="s">
        <v>386</v>
      </c>
      <c r="G21" s="17" t="s">
        <v>387</v>
      </c>
      <c r="H21" s="18" t="s">
        <v>129</v>
      </c>
    </row>
    <row r="22" spans="1:8" ht="25.75" x14ac:dyDescent="0.4">
      <c r="A22" s="17" t="s">
        <v>455</v>
      </c>
      <c r="B22" s="17" t="s">
        <v>456</v>
      </c>
      <c r="C22" s="17" t="s">
        <v>457</v>
      </c>
      <c r="D22" s="17" t="s">
        <v>458</v>
      </c>
      <c r="E22" s="17" t="s">
        <v>379</v>
      </c>
      <c r="F22" s="17" t="s">
        <v>459</v>
      </c>
      <c r="G22" s="17" t="s">
        <v>460</v>
      </c>
      <c r="H22" s="18" t="s">
        <v>129</v>
      </c>
    </row>
    <row r="23" spans="1:8" ht="38.15" x14ac:dyDescent="0.4">
      <c r="A23" s="17" t="s">
        <v>454</v>
      </c>
      <c r="B23" s="17"/>
      <c r="C23" s="17" t="s">
        <v>451</v>
      </c>
      <c r="D23" s="17" t="s">
        <v>20</v>
      </c>
      <c r="E23" s="17" t="s">
        <v>452</v>
      </c>
      <c r="F23" s="17" t="s">
        <v>453</v>
      </c>
      <c r="G23" s="17"/>
      <c r="H23" s="17" t="s">
        <v>340</v>
      </c>
    </row>
    <row r="24" spans="1:8" ht="38.15" x14ac:dyDescent="0.4">
      <c r="A24" s="17" t="s">
        <v>348</v>
      </c>
      <c r="B24" s="17" t="s">
        <v>349</v>
      </c>
      <c r="C24" s="17" t="s">
        <v>350</v>
      </c>
      <c r="D24" s="17" t="s">
        <v>351</v>
      </c>
      <c r="E24" s="17" t="s">
        <v>352</v>
      </c>
      <c r="F24" s="17" t="s">
        <v>353</v>
      </c>
      <c r="G24" s="17"/>
      <c r="H24" s="17" t="s">
        <v>175</v>
      </c>
    </row>
    <row r="25" spans="1:8" x14ac:dyDescent="0.4">
      <c r="A25" s="17" t="s">
        <v>400</v>
      </c>
      <c r="B25" s="17" t="s">
        <v>14</v>
      </c>
      <c r="C25" s="17" t="s">
        <v>401</v>
      </c>
      <c r="D25" s="17" t="s">
        <v>18</v>
      </c>
      <c r="E25" s="17" t="s">
        <v>23</v>
      </c>
      <c r="F25" s="17" t="s">
        <v>402</v>
      </c>
      <c r="G25" s="17" t="s">
        <v>29</v>
      </c>
      <c r="H25" s="17"/>
    </row>
    <row r="26" spans="1:8" x14ac:dyDescent="0.4">
      <c r="A26" s="17" t="s">
        <v>207</v>
      </c>
      <c r="B26" s="17" t="s">
        <v>147</v>
      </c>
      <c r="C26" s="17"/>
      <c r="D26" s="17" t="s">
        <v>208</v>
      </c>
      <c r="E26" s="17" t="s">
        <v>209</v>
      </c>
      <c r="F26" s="17" t="s">
        <v>210</v>
      </c>
      <c r="G26" s="17" t="s">
        <v>206</v>
      </c>
      <c r="H26" s="18" t="s">
        <v>129</v>
      </c>
    </row>
    <row r="27" spans="1:8" ht="25.75" x14ac:dyDescent="0.4">
      <c r="A27" s="17" t="s">
        <v>130</v>
      </c>
      <c r="B27" s="17" t="s">
        <v>131</v>
      </c>
      <c r="C27" s="17" t="s">
        <v>132</v>
      </c>
      <c r="D27" s="17" t="s">
        <v>133</v>
      </c>
      <c r="E27" s="17" t="s">
        <v>134</v>
      </c>
      <c r="F27" s="17" t="s">
        <v>135</v>
      </c>
      <c r="G27" s="17" t="s">
        <v>136</v>
      </c>
      <c r="H27" s="19" t="s">
        <v>137</v>
      </c>
    </row>
    <row r="28" spans="1:8" ht="25.75" x14ac:dyDescent="0.4">
      <c r="A28" s="17" t="s">
        <v>211</v>
      </c>
      <c r="B28" s="17" t="s">
        <v>339</v>
      </c>
      <c r="C28" s="17" t="s">
        <v>212</v>
      </c>
      <c r="D28" s="17" t="s">
        <v>213</v>
      </c>
      <c r="E28" s="17"/>
      <c r="F28" s="17" t="s">
        <v>214</v>
      </c>
      <c r="G28" s="17" t="s">
        <v>215</v>
      </c>
      <c r="H28" s="17" t="s">
        <v>340</v>
      </c>
    </row>
    <row r="29" spans="1:8" x14ac:dyDescent="0.4">
      <c r="A29" s="17" t="s">
        <v>394</v>
      </c>
      <c r="B29" s="17" t="s">
        <v>395</v>
      </c>
      <c r="C29" s="17" t="s">
        <v>396</v>
      </c>
      <c r="D29" s="17" t="s">
        <v>20</v>
      </c>
      <c r="E29" s="17" t="s">
        <v>22</v>
      </c>
      <c r="F29" s="17" t="s">
        <v>67</v>
      </c>
      <c r="G29" s="17" t="s">
        <v>115</v>
      </c>
      <c r="H29" s="17"/>
    </row>
    <row r="30" spans="1:8" ht="25.75" x14ac:dyDescent="0.4">
      <c r="A30" s="17" t="s">
        <v>200</v>
      </c>
      <c r="B30" s="17" t="s">
        <v>338</v>
      </c>
      <c r="C30" s="17" t="s">
        <v>15</v>
      </c>
      <c r="D30" s="17" t="s">
        <v>20</v>
      </c>
      <c r="E30" s="17" t="s">
        <v>23</v>
      </c>
      <c r="F30" s="17" t="s">
        <v>26</v>
      </c>
      <c r="G30" s="17"/>
      <c r="H30" s="18" t="s">
        <v>129</v>
      </c>
    </row>
    <row r="31" spans="1:8" ht="25.75" x14ac:dyDescent="0.4">
      <c r="A31" s="17" t="s">
        <v>176</v>
      </c>
      <c r="B31" s="17" t="s">
        <v>177</v>
      </c>
      <c r="C31" s="17" t="s">
        <v>178</v>
      </c>
      <c r="D31" s="17" t="s">
        <v>179</v>
      </c>
      <c r="E31" s="17" t="s">
        <v>180</v>
      </c>
      <c r="F31" s="17" t="s">
        <v>181</v>
      </c>
      <c r="G31" s="17" t="s">
        <v>182</v>
      </c>
      <c r="H31" s="18" t="s">
        <v>129</v>
      </c>
    </row>
    <row r="32" spans="1:8" x14ac:dyDescent="0.4">
      <c r="A32" s="17" t="s">
        <v>146</v>
      </c>
      <c r="B32" s="17" t="s">
        <v>147</v>
      </c>
      <c r="C32" s="17"/>
      <c r="D32" s="17" t="s">
        <v>19</v>
      </c>
      <c r="E32" s="17" t="s">
        <v>23</v>
      </c>
      <c r="F32" s="17" t="s">
        <v>148</v>
      </c>
      <c r="G32" s="17" t="s">
        <v>29</v>
      </c>
      <c r="H32" s="18" t="s">
        <v>129</v>
      </c>
    </row>
    <row r="33" spans="1:8" ht="25.75" x14ac:dyDescent="0.4">
      <c r="A33" s="17" t="s">
        <v>155</v>
      </c>
      <c r="B33" s="17" t="s">
        <v>156</v>
      </c>
      <c r="C33" s="17" t="s">
        <v>157</v>
      </c>
      <c r="D33" s="17" t="s">
        <v>158</v>
      </c>
      <c r="E33" s="17" t="s">
        <v>159</v>
      </c>
      <c r="F33" s="17" t="s">
        <v>160</v>
      </c>
      <c r="G33" s="17" t="s">
        <v>161</v>
      </c>
      <c r="H33" s="18" t="s">
        <v>129</v>
      </c>
    </row>
    <row r="34" spans="1:8" ht="25.75" x14ac:dyDescent="0.4">
      <c r="A34" s="17" t="s">
        <v>149</v>
      </c>
      <c r="B34" s="17" t="s">
        <v>147</v>
      </c>
      <c r="C34" s="17" t="s">
        <v>150</v>
      </c>
      <c r="D34" s="17" t="s">
        <v>151</v>
      </c>
      <c r="E34" s="17" t="s">
        <v>152</v>
      </c>
      <c r="F34" s="17" t="s">
        <v>139</v>
      </c>
      <c r="G34" s="17" t="s">
        <v>153</v>
      </c>
      <c r="H34" s="17" t="s">
        <v>154</v>
      </c>
    </row>
    <row r="35" spans="1:8" ht="38.15" x14ac:dyDescent="0.4">
      <c r="A35" s="17" t="s">
        <v>449</v>
      </c>
      <c r="B35" s="17" t="s">
        <v>450</v>
      </c>
      <c r="C35" s="17" t="s">
        <v>451</v>
      </c>
      <c r="D35" s="17" t="s">
        <v>20</v>
      </c>
      <c r="E35" s="17" t="s">
        <v>452</v>
      </c>
      <c r="F35" s="17" t="s">
        <v>453</v>
      </c>
      <c r="G35" s="17"/>
      <c r="H35" s="17" t="s">
        <v>340</v>
      </c>
    </row>
    <row r="36" spans="1:8" ht="25.75" x14ac:dyDescent="0.4">
      <c r="A36" s="17" t="s">
        <v>354</v>
      </c>
      <c r="B36" s="17" t="s">
        <v>355</v>
      </c>
      <c r="C36" s="17" t="s">
        <v>356</v>
      </c>
      <c r="D36" s="17" t="s">
        <v>357</v>
      </c>
      <c r="E36" s="17" t="s">
        <v>358</v>
      </c>
      <c r="F36" s="17" t="s">
        <v>359</v>
      </c>
      <c r="G36" s="17" t="s">
        <v>360</v>
      </c>
      <c r="H36" s="18" t="s">
        <v>129</v>
      </c>
    </row>
    <row r="37" spans="1:8" ht="25.75" x14ac:dyDescent="0.4">
      <c r="A37" s="17" t="s">
        <v>445</v>
      </c>
      <c r="B37" s="17" t="s">
        <v>31</v>
      </c>
      <c r="C37" s="17" t="s">
        <v>446</v>
      </c>
      <c r="D37" s="17" t="s">
        <v>37</v>
      </c>
      <c r="E37" s="17" t="s">
        <v>42</v>
      </c>
      <c r="F37" s="17" t="s">
        <v>25</v>
      </c>
      <c r="G37" s="17" t="s">
        <v>447</v>
      </c>
      <c r="H37" s="17" t="s">
        <v>340</v>
      </c>
    </row>
    <row r="38" spans="1:8" ht="25.75" x14ac:dyDescent="0.4">
      <c r="A38" s="17" t="s">
        <v>417</v>
      </c>
      <c r="B38" s="17" t="s">
        <v>418</v>
      </c>
      <c r="C38" s="17" t="s">
        <v>157</v>
      </c>
      <c r="D38" s="17" t="s">
        <v>419</v>
      </c>
      <c r="E38" s="17" t="s">
        <v>420</v>
      </c>
      <c r="F38" s="17" t="s">
        <v>421</v>
      </c>
      <c r="G38" s="17" t="s">
        <v>422</v>
      </c>
      <c r="H38" s="18" t="s">
        <v>129</v>
      </c>
    </row>
    <row r="39" spans="1:8" ht="25.75" x14ac:dyDescent="0.4">
      <c r="A39" s="17" t="s">
        <v>376</v>
      </c>
      <c r="B39" s="17" t="s">
        <v>377</v>
      </c>
      <c r="C39" s="17" t="s">
        <v>378</v>
      </c>
      <c r="D39" s="17" t="s">
        <v>165</v>
      </c>
      <c r="E39" s="17" t="s">
        <v>379</v>
      </c>
      <c r="F39" s="17" t="s">
        <v>380</v>
      </c>
      <c r="G39" s="17" t="s">
        <v>381</v>
      </c>
      <c r="H39" s="18" t="s">
        <v>129</v>
      </c>
    </row>
    <row r="40" spans="1:8" x14ac:dyDescent="0.4">
      <c r="A40" s="17" t="s">
        <v>201</v>
      </c>
      <c r="B40" s="17" t="s">
        <v>202</v>
      </c>
      <c r="C40" s="17"/>
      <c r="D40" s="17" t="s">
        <v>203</v>
      </c>
      <c r="E40" s="17" t="s">
        <v>204</v>
      </c>
      <c r="F40" s="17" t="s">
        <v>205</v>
      </c>
      <c r="G40" s="17" t="s">
        <v>206</v>
      </c>
      <c r="H40" s="18" t="s">
        <v>129</v>
      </c>
    </row>
    <row r="41" spans="1:8" ht="25.75" x14ac:dyDescent="0.4">
      <c r="A41" s="17" t="s">
        <v>461</v>
      </c>
      <c r="B41" s="17" t="s">
        <v>462</v>
      </c>
      <c r="C41" s="17" t="s">
        <v>463</v>
      </c>
      <c r="D41" s="17" t="s">
        <v>464</v>
      </c>
      <c r="E41" s="17" t="s">
        <v>465</v>
      </c>
      <c r="F41" s="17" t="s">
        <v>466</v>
      </c>
      <c r="G41" s="17" t="s">
        <v>467</v>
      </c>
      <c r="H41" s="18" t="s">
        <v>129</v>
      </c>
    </row>
    <row r="42" spans="1:8" ht="38.15" x14ac:dyDescent="0.4">
      <c r="A42" s="17" t="s">
        <v>372</v>
      </c>
      <c r="B42" s="17" t="s">
        <v>13</v>
      </c>
      <c r="C42" s="17" t="s">
        <v>373</v>
      </c>
      <c r="D42" s="17" t="s">
        <v>374</v>
      </c>
      <c r="E42" s="17" t="s">
        <v>23</v>
      </c>
      <c r="F42" s="17" t="s">
        <v>375</v>
      </c>
      <c r="G42" s="17"/>
      <c r="H42" s="18" t="s">
        <v>129</v>
      </c>
    </row>
    <row r="43" spans="1:8" ht="25.75" x14ac:dyDescent="0.4">
      <c r="A43" s="17" t="s">
        <v>169</v>
      </c>
      <c r="B43" s="17" t="s">
        <v>170</v>
      </c>
      <c r="C43" s="17" t="s">
        <v>171</v>
      </c>
      <c r="D43" s="17" t="s">
        <v>172</v>
      </c>
      <c r="E43" s="17" t="s">
        <v>173</v>
      </c>
      <c r="F43" s="17" t="s">
        <v>174</v>
      </c>
      <c r="G43" s="17" t="s">
        <v>28</v>
      </c>
      <c r="H43" s="17" t="s">
        <v>175</v>
      </c>
    </row>
    <row r="44" spans="1:8" ht="25.75" x14ac:dyDescent="0.4">
      <c r="A44" s="17" t="s">
        <v>468</v>
      </c>
      <c r="B44" s="17" t="s">
        <v>469</v>
      </c>
      <c r="C44" s="17" t="s">
        <v>470</v>
      </c>
      <c r="D44" s="17" t="s">
        <v>471</v>
      </c>
      <c r="E44" s="17" t="s">
        <v>472</v>
      </c>
      <c r="F44" s="17" t="s">
        <v>473</v>
      </c>
      <c r="G44" s="17" t="s">
        <v>460</v>
      </c>
      <c r="H44" s="18" t="s">
        <v>129</v>
      </c>
    </row>
    <row r="45" spans="1:8" ht="25.75" x14ac:dyDescent="0.4">
      <c r="A45" s="17" t="s">
        <v>162</v>
      </c>
      <c r="B45" s="17" t="s">
        <v>163</v>
      </c>
      <c r="C45" s="17" t="s">
        <v>164</v>
      </c>
      <c r="D45" s="17" t="s">
        <v>165</v>
      </c>
      <c r="E45" s="17" t="s">
        <v>166</v>
      </c>
      <c r="F45" s="17" t="s">
        <v>167</v>
      </c>
      <c r="G45" s="17" t="s">
        <v>168</v>
      </c>
      <c r="H45" s="17" t="s">
        <v>175</v>
      </c>
    </row>
  </sheetData>
  <sortState xmlns:xlrd2="http://schemas.microsoft.com/office/spreadsheetml/2017/richdata2" ref="A2:H45">
    <sortCondition ref="A2:A4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C770-3B95-40DC-97C2-8529964DDCBE}">
  <sheetPr codeName="Sheet7"/>
  <dimension ref="A1:R19"/>
  <sheetViews>
    <sheetView workbookViewId="0">
      <selection activeCell="C19" sqref="C19"/>
    </sheetView>
  </sheetViews>
  <sheetFormatPr defaultRowHeight="14.6" x14ac:dyDescent="0.4"/>
  <cols>
    <col min="1" max="1" width="14.69140625" customWidth="1"/>
    <col min="2" max="3" width="7.921875" style="2" customWidth="1"/>
    <col min="4" max="4" width="14.69140625" customWidth="1"/>
    <col min="5" max="5" width="7.84375" style="2" customWidth="1"/>
    <col min="6" max="6" width="6.23046875" style="2" customWidth="1"/>
    <col min="7" max="7" width="14.69140625" customWidth="1"/>
    <col min="8" max="8" width="7.84375" style="2" customWidth="1"/>
    <col min="9" max="9" width="6.23046875" style="2" customWidth="1"/>
    <col min="10" max="10" width="14.69140625" customWidth="1"/>
    <col min="11" max="11" width="7.84375" style="2" customWidth="1"/>
    <col min="12" max="12" width="6.23046875" style="2" customWidth="1"/>
    <col min="13" max="13" width="14.69140625" customWidth="1"/>
    <col min="14" max="14" width="7.84375" style="2" customWidth="1"/>
    <col min="15" max="15" width="6.23046875" style="2" customWidth="1"/>
    <col min="16" max="16" width="14.69140625" customWidth="1"/>
    <col min="17" max="17" width="7.84375" style="2" customWidth="1"/>
    <col min="18" max="18" width="6.23046875" style="2" customWidth="1"/>
  </cols>
  <sheetData>
    <row r="1" spans="1:18" s="1" customFormat="1" x14ac:dyDescent="0.4">
      <c r="A1" s="1" t="s">
        <v>6</v>
      </c>
      <c r="B1" s="3" t="s">
        <v>2</v>
      </c>
      <c r="C1" s="3" t="s">
        <v>3</v>
      </c>
      <c r="D1" s="1" t="s">
        <v>7</v>
      </c>
      <c r="E1" s="3" t="s">
        <v>2</v>
      </c>
      <c r="F1" s="3" t="s">
        <v>3</v>
      </c>
      <c r="G1" s="1" t="s">
        <v>8</v>
      </c>
      <c r="H1" s="3" t="s">
        <v>2</v>
      </c>
      <c r="I1" s="3" t="s">
        <v>3</v>
      </c>
      <c r="J1" s="1" t="s">
        <v>9</v>
      </c>
      <c r="K1" s="3" t="s">
        <v>2</v>
      </c>
      <c r="L1" s="3" t="s">
        <v>3</v>
      </c>
      <c r="M1" s="1" t="s">
        <v>10</v>
      </c>
      <c r="N1" s="3" t="s">
        <v>2</v>
      </c>
      <c r="O1" s="3" t="s">
        <v>3</v>
      </c>
      <c r="P1" s="1" t="s">
        <v>11</v>
      </c>
      <c r="Q1" s="3" t="s">
        <v>2</v>
      </c>
      <c r="R1" s="3" t="s">
        <v>3</v>
      </c>
    </row>
    <row r="2" spans="1:18" x14ac:dyDescent="0.4">
      <c r="A2" t="s">
        <v>31</v>
      </c>
      <c r="B2" s="2">
        <v>0.93402777777777779</v>
      </c>
      <c r="C2" s="2">
        <v>0.98611111111111116</v>
      </c>
      <c r="D2" t="s">
        <v>79</v>
      </c>
      <c r="E2" s="2">
        <v>0.80555555555555558</v>
      </c>
      <c r="F2" s="2">
        <v>0.85763888888888895</v>
      </c>
      <c r="G2" t="s">
        <v>39</v>
      </c>
      <c r="H2" s="2">
        <v>1.0520833333333333</v>
      </c>
      <c r="I2" s="2">
        <v>1.1041666666666665</v>
      </c>
      <c r="J2" t="s">
        <v>41</v>
      </c>
      <c r="K2" s="2">
        <v>0.82291666666666663</v>
      </c>
      <c r="L2" s="2">
        <v>0.87152777777777779</v>
      </c>
      <c r="M2" t="s">
        <v>24</v>
      </c>
      <c r="N2" s="2">
        <v>0.77083333333333337</v>
      </c>
      <c r="O2" s="2">
        <v>0.8125</v>
      </c>
      <c r="P2" t="s">
        <v>50</v>
      </c>
      <c r="Q2" s="2">
        <v>0.90625</v>
      </c>
      <c r="R2" s="2">
        <v>0.95833333333333337</v>
      </c>
    </row>
    <row r="3" spans="1:18" x14ac:dyDescent="0.4">
      <c r="A3" t="s">
        <v>30</v>
      </c>
      <c r="B3" s="2">
        <v>0.82291666666666663</v>
      </c>
      <c r="C3" s="2">
        <v>0.86458333333333326</v>
      </c>
      <c r="D3" t="s">
        <v>55</v>
      </c>
      <c r="E3" s="2">
        <v>0.71875</v>
      </c>
      <c r="F3" s="2">
        <v>0.76041666666666663</v>
      </c>
      <c r="G3" t="s">
        <v>81</v>
      </c>
      <c r="H3" s="2">
        <v>0.71875</v>
      </c>
      <c r="I3" s="2">
        <v>0.77083333333333337</v>
      </c>
      <c r="J3" t="s">
        <v>106</v>
      </c>
      <c r="K3" s="2">
        <v>0.80208333333333337</v>
      </c>
      <c r="L3" s="2">
        <v>0.84375</v>
      </c>
      <c r="M3" t="s">
        <v>68</v>
      </c>
      <c r="N3" s="2">
        <v>0.81597222222222221</v>
      </c>
      <c r="O3" s="2">
        <v>0.87847222222222221</v>
      </c>
      <c r="P3" t="s">
        <v>48</v>
      </c>
      <c r="Q3" s="2">
        <v>0.70486111111111116</v>
      </c>
      <c r="R3" s="2">
        <v>0.74652777777777779</v>
      </c>
    </row>
    <row r="4" spans="1:18" x14ac:dyDescent="0.4">
      <c r="A4" t="s">
        <v>51</v>
      </c>
      <c r="B4" s="2">
        <v>0.71875</v>
      </c>
      <c r="C4" s="2">
        <v>0.77083333333333337</v>
      </c>
      <c r="D4" t="s">
        <v>80</v>
      </c>
      <c r="E4" s="2">
        <v>0.91666666666666663</v>
      </c>
      <c r="F4" s="2">
        <v>0.96875</v>
      </c>
      <c r="G4" t="s">
        <v>59</v>
      </c>
      <c r="H4" s="2">
        <v>0.72222222222222221</v>
      </c>
      <c r="I4" s="2">
        <v>0.77430555555555558</v>
      </c>
      <c r="J4" t="s">
        <v>65</v>
      </c>
      <c r="K4" s="2">
        <v>0.92708333333333337</v>
      </c>
      <c r="L4" s="2">
        <v>0.98263888888888895</v>
      </c>
      <c r="M4" t="s">
        <v>112</v>
      </c>
      <c r="N4" s="2">
        <v>1</v>
      </c>
      <c r="O4" s="2">
        <v>1.0451388888888888</v>
      </c>
      <c r="P4" t="s">
        <v>71</v>
      </c>
      <c r="Q4" s="2">
        <v>0.66319444444444442</v>
      </c>
      <c r="R4" s="2">
        <v>0.70486111111111105</v>
      </c>
    </row>
    <row r="5" spans="1:18" x14ac:dyDescent="0.4">
      <c r="A5" t="s">
        <v>94</v>
      </c>
      <c r="B5" s="2">
        <v>0.78125</v>
      </c>
      <c r="C5" s="2">
        <v>0.82291666666666663</v>
      </c>
      <c r="D5" t="s">
        <v>34</v>
      </c>
      <c r="E5" s="2">
        <v>0.92013888888888884</v>
      </c>
      <c r="F5" s="2">
        <v>0.96875</v>
      </c>
      <c r="G5" t="s">
        <v>38</v>
      </c>
      <c r="H5" s="2">
        <v>0.9375</v>
      </c>
      <c r="I5" s="2">
        <v>0.97916666666666663</v>
      </c>
      <c r="J5" t="s">
        <v>86</v>
      </c>
      <c r="K5" s="2">
        <v>0.93055555555555558</v>
      </c>
      <c r="L5" s="2">
        <v>0.98263888888888895</v>
      </c>
      <c r="M5" t="s">
        <v>109</v>
      </c>
      <c r="N5" s="2">
        <v>0.6875</v>
      </c>
      <c r="O5" s="2">
        <v>0.72916666666666663</v>
      </c>
      <c r="P5" t="s">
        <v>28</v>
      </c>
      <c r="Q5" s="2">
        <v>0.85416666666666663</v>
      </c>
      <c r="R5" s="2">
        <v>0.90277777777777779</v>
      </c>
    </row>
    <row r="6" spans="1:18" x14ac:dyDescent="0.4">
      <c r="A6" t="s">
        <v>52</v>
      </c>
      <c r="B6" s="2">
        <v>0.8125</v>
      </c>
      <c r="C6" s="2">
        <v>0.87152777777777779</v>
      </c>
      <c r="D6" t="s">
        <v>57</v>
      </c>
      <c r="E6" s="2">
        <v>0.91319444444444442</v>
      </c>
      <c r="F6" s="2">
        <v>0.97222222222222221</v>
      </c>
      <c r="G6" t="s">
        <v>60</v>
      </c>
      <c r="H6" s="2">
        <v>0.82291666666666663</v>
      </c>
      <c r="I6" s="2">
        <v>0.88541666666666663</v>
      </c>
      <c r="J6" t="s">
        <v>63</v>
      </c>
      <c r="K6" s="2">
        <v>0.72916666666666663</v>
      </c>
      <c r="L6" s="2">
        <v>0.77430555555555547</v>
      </c>
      <c r="M6" t="s">
        <v>45</v>
      </c>
      <c r="N6" s="2">
        <v>0.82291666666666663</v>
      </c>
      <c r="O6" s="2">
        <v>0.87152777777777779</v>
      </c>
      <c r="P6" t="s">
        <v>90</v>
      </c>
      <c r="Q6" s="2">
        <v>0.75</v>
      </c>
      <c r="R6" s="2">
        <v>0.79166666666666663</v>
      </c>
    </row>
    <row r="7" spans="1:18" x14ac:dyDescent="0.4">
      <c r="A7" t="s">
        <v>13</v>
      </c>
      <c r="B7" s="2">
        <v>0.875</v>
      </c>
      <c r="C7" s="2">
        <v>0.92708333333333337</v>
      </c>
      <c r="D7" t="s">
        <v>58</v>
      </c>
      <c r="E7" s="2">
        <v>1.0590277777777777</v>
      </c>
      <c r="F7" s="2">
        <v>1.1041666666666665</v>
      </c>
      <c r="G7" t="s">
        <v>62</v>
      </c>
      <c r="H7" s="2">
        <v>1.0486111111111112</v>
      </c>
      <c r="I7" s="2">
        <v>1.1041666666666667</v>
      </c>
      <c r="J7" t="s">
        <v>42</v>
      </c>
      <c r="K7" s="2">
        <v>0.93055555555555558</v>
      </c>
      <c r="L7" s="2">
        <v>0.98263888888888895</v>
      </c>
      <c r="M7" t="s">
        <v>46</v>
      </c>
      <c r="N7" s="2">
        <v>0.9375</v>
      </c>
      <c r="O7" s="2">
        <v>0.97916666666666663</v>
      </c>
      <c r="P7" t="s">
        <v>72</v>
      </c>
      <c r="Q7" s="2">
        <v>0.80208333333333337</v>
      </c>
      <c r="R7" s="2">
        <v>0.85416666666666674</v>
      </c>
    </row>
    <row r="8" spans="1:18" x14ac:dyDescent="0.4">
      <c r="A8" t="s">
        <v>75</v>
      </c>
      <c r="B8" s="2">
        <v>0.71875</v>
      </c>
      <c r="C8" s="2">
        <v>0.77083333333333337</v>
      </c>
      <c r="D8" t="s">
        <v>35</v>
      </c>
      <c r="E8" s="2">
        <v>1.0625</v>
      </c>
      <c r="F8" s="2">
        <v>1.1041666666666667</v>
      </c>
      <c r="G8" t="s">
        <v>18</v>
      </c>
      <c r="H8" s="2">
        <v>0.77430555555555558</v>
      </c>
      <c r="I8" s="2">
        <v>0.82291666666666674</v>
      </c>
      <c r="J8" t="s">
        <v>85</v>
      </c>
      <c r="K8" s="2">
        <v>0.81597222222222221</v>
      </c>
      <c r="L8" s="2">
        <v>0.86805555555555558</v>
      </c>
      <c r="M8" t="s">
        <v>70</v>
      </c>
      <c r="N8" s="2">
        <v>1.0486111111111112</v>
      </c>
      <c r="O8" s="2">
        <v>1.1041666666666667</v>
      </c>
      <c r="P8" t="s">
        <v>49</v>
      </c>
      <c r="Q8" s="2">
        <v>0.80555555555555558</v>
      </c>
      <c r="R8" s="2">
        <v>0.84722222222222221</v>
      </c>
    </row>
    <row r="9" spans="1:18" x14ac:dyDescent="0.4">
      <c r="A9" t="s">
        <v>53</v>
      </c>
      <c r="B9" s="2">
        <v>0.92708333333333337</v>
      </c>
      <c r="C9" s="2">
        <v>0.98958333333333337</v>
      </c>
      <c r="D9" t="s">
        <v>99</v>
      </c>
      <c r="E9" s="2">
        <v>0.875</v>
      </c>
      <c r="F9" s="2">
        <v>0.91666666666666663</v>
      </c>
      <c r="G9" t="s">
        <v>20</v>
      </c>
      <c r="H9" s="2">
        <v>0.98611111111111116</v>
      </c>
      <c r="I9" s="2">
        <v>1.0486111111111112</v>
      </c>
      <c r="J9" t="s">
        <v>22</v>
      </c>
      <c r="K9" s="2">
        <v>0.875</v>
      </c>
      <c r="L9" s="2">
        <v>0.92708333333333337</v>
      </c>
      <c r="M9" t="s">
        <v>26</v>
      </c>
      <c r="N9" s="2">
        <v>0.98611111111111116</v>
      </c>
      <c r="O9" s="2">
        <v>1.0486111111111112</v>
      </c>
      <c r="P9" t="s">
        <v>113</v>
      </c>
      <c r="Q9" s="2">
        <v>0.75</v>
      </c>
      <c r="R9" s="2">
        <v>0.79166666666666663</v>
      </c>
    </row>
    <row r="10" spans="1:18" x14ac:dyDescent="0.4">
      <c r="A10" t="s">
        <v>32</v>
      </c>
      <c r="B10" s="2">
        <v>1.0625</v>
      </c>
      <c r="C10" s="2">
        <v>1.1041666666666667</v>
      </c>
      <c r="D10" t="s">
        <v>97</v>
      </c>
      <c r="E10" s="2">
        <v>0.6875</v>
      </c>
      <c r="F10" s="2">
        <v>0.72916666666666663</v>
      </c>
      <c r="G10" t="s">
        <v>82</v>
      </c>
      <c r="H10" s="2">
        <v>0.82291666666666663</v>
      </c>
      <c r="I10" s="2">
        <v>0.875</v>
      </c>
      <c r="J10" t="s">
        <v>64</v>
      </c>
      <c r="K10" s="2">
        <v>0.82291666666666663</v>
      </c>
      <c r="L10" s="2">
        <v>0.875</v>
      </c>
      <c r="M10" t="s">
        <v>110</v>
      </c>
      <c r="N10" s="2">
        <v>0.78125</v>
      </c>
      <c r="O10" s="2">
        <v>0.82291666666666663</v>
      </c>
      <c r="P10" t="s">
        <v>73</v>
      </c>
      <c r="Q10" s="2">
        <v>0.91666666666666663</v>
      </c>
      <c r="R10" s="2">
        <v>0.95833333333333326</v>
      </c>
    </row>
    <row r="11" spans="1:18" x14ac:dyDescent="0.4">
      <c r="A11" t="s">
        <v>96</v>
      </c>
      <c r="B11" s="2">
        <v>1.0208333333333333</v>
      </c>
      <c r="C11" s="2">
        <v>1.0625</v>
      </c>
      <c r="D11" t="s">
        <v>15</v>
      </c>
      <c r="E11" s="2">
        <v>0.76041666666666663</v>
      </c>
      <c r="F11" s="2">
        <v>0.80208333333333326</v>
      </c>
      <c r="G11" t="s">
        <v>104</v>
      </c>
      <c r="H11" s="2">
        <v>1</v>
      </c>
      <c r="I11" s="2">
        <v>1.0416666666666667</v>
      </c>
      <c r="J11" t="s">
        <v>43</v>
      </c>
      <c r="K11" s="2">
        <v>1.0555555555555556</v>
      </c>
      <c r="L11" s="2">
        <v>1.1076388888888888</v>
      </c>
      <c r="M11" t="s">
        <v>69</v>
      </c>
      <c r="N11" s="2">
        <v>0.93402777777777779</v>
      </c>
      <c r="O11" s="2">
        <v>0.98263888888888895</v>
      </c>
      <c r="P11" t="s">
        <v>114</v>
      </c>
      <c r="Q11" s="2">
        <v>0.86111111111111116</v>
      </c>
      <c r="R11" s="2">
        <v>0.90277777777777779</v>
      </c>
    </row>
    <row r="12" spans="1:18" x14ac:dyDescent="0.4">
      <c r="A12" t="s">
        <v>76</v>
      </c>
      <c r="B12" s="2">
        <v>0.8125</v>
      </c>
      <c r="C12" s="2">
        <v>0.86458333333333337</v>
      </c>
      <c r="D12" t="s">
        <v>100</v>
      </c>
      <c r="E12" s="2">
        <v>1.0104166666666667</v>
      </c>
      <c r="F12" s="2">
        <v>1.0520833333333335</v>
      </c>
      <c r="G12" t="s">
        <v>103</v>
      </c>
      <c r="H12" s="2">
        <v>0.89583333333333337</v>
      </c>
      <c r="I12" s="2">
        <v>0.9375</v>
      </c>
      <c r="J12" t="s">
        <v>108</v>
      </c>
      <c r="K12" s="2">
        <v>1.0104166666666667</v>
      </c>
      <c r="L12" s="2">
        <v>1.0520833333333335</v>
      </c>
      <c r="M12" t="s">
        <v>111</v>
      </c>
      <c r="N12" s="2">
        <v>0.88541666666666663</v>
      </c>
      <c r="O12" s="2">
        <v>0.92013888888888884</v>
      </c>
      <c r="P12" t="s">
        <v>74</v>
      </c>
      <c r="Q12" s="2">
        <v>1.0381944444444444</v>
      </c>
      <c r="R12" s="2">
        <v>1.1006944444444444</v>
      </c>
    </row>
    <row r="13" spans="1:18" x14ac:dyDescent="0.4">
      <c r="A13" t="s">
        <v>93</v>
      </c>
      <c r="B13" s="2">
        <v>0.6875</v>
      </c>
      <c r="C13" s="2">
        <v>0.72916666666666663</v>
      </c>
      <c r="D13" t="s">
        <v>98</v>
      </c>
      <c r="E13" s="2">
        <v>0.76736111111111116</v>
      </c>
      <c r="F13" s="2">
        <v>0.80902777777777779</v>
      </c>
      <c r="G13" t="s">
        <v>101</v>
      </c>
      <c r="H13" s="2">
        <v>0.6875</v>
      </c>
      <c r="I13" s="2">
        <v>0.72916666666666663</v>
      </c>
      <c r="J13" t="s">
        <v>23</v>
      </c>
      <c r="K13" s="2">
        <v>0.98611111111111116</v>
      </c>
      <c r="L13" s="2">
        <v>1.0486111111111112</v>
      </c>
      <c r="M13" t="s">
        <v>67</v>
      </c>
      <c r="N13" s="2">
        <v>0.71875</v>
      </c>
      <c r="O13" s="2">
        <v>0.77083333333333337</v>
      </c>
      <c r="P13" t="s">
        <v>115</v>
      </c>
      <c r="Q13" s="2">
        <v>0.99652777777777779</v>
      </c>
      <c r="R13" s="2">
        <v>1.0381944444444444</v>
      </c>
    </row>
    <row r="14" spans="1:18" x14ac:dyDescent="0.4">
      <c r="A14" t="s">
        <v>95</v>
      </c>
      <c r="B14" s="2">
        <v>0.88541666666666663</v>
      </c>
      <c r="C14" s="2">
        <v>0.92708333333333326</v>
      </c>
      <c r="D14" t="s">
        <v>17</v>
      </c>
      <c r="E14" s="2">
        <v>0.97569444444444442</v>
      </c>
      <c r="F14" s="2">
        <v>1.0590277777777777</v>
      </c>
      <c r="G14" t="s">
        <v>36</v>
      </c>
      <c r="H14" s="2">
        <v>0.72916666666666663</v>
      </c>
      <c r="I14" s="2">
        <v>0.76736111111111105</v>
      </c>
      <c r="J14" t="s">
        <v>105</v>
      </c>
      <c r="K14" s="2">
        <v>0.6875</v>
      </c>
      <c r="L14" s="2">
        <v>0.72916666666666663</v>
      </c>
      <c r="M14" t="s">
        <v>44</v>
      </c>
      <c r="N14" s="2">
        <v>0.72916666666666663</v>
      </c>
      <c r="O14" s="2">
        <v>0.76388888888888884</v>
      </c>
      <c r="P14" t="s">
        <v>29</v>
      </c>
      <c r="Q14" s="2">
        <v>0.98611111111111116</v>
      </c>
      <c r="R14" s="2">
        <v>1.0381944444444444</v>
      </c>
    </row>
    <row r="15" spans="1:18" x14ac:dyDescent="0.4">
      <c r="A15" t="s">
        <v>12</v>
      </c>
      <c r="B15" s="2">
        <v>0.77083333333333337</v>
      </c>
      <c r="C15" s="2">
        <v>0.8125</v>
      </c>
      <c r="D15" t="s">
        <v>16</v>
      </c>
      <c r="E15" s="2">
        <v>0.86458333333333337</v>
      </c>
      <c r="F15" s="2">
        <v>0.91319444444444453</v>
      </c>
      <c r="G15" t="s">
        <v>37</v>
      </c>
      <c r="H15" s="2">
        <v>0.82986111111111116</v>
      </c>
      <c r="I15" s="2">
        <v>0.88194444444444453</v>
      </c>
      <c r="J15" t="s">
        <v>40</v>
      </c>
      <c r="K15" s="2">
        <v>0.72916666666666663</v>
      </c>
      <c r="L15" s="2">
        <v>0.77083333333333326</v>
      </c>
      <c r="M15" t="s">
        <v>88</v>
      </c>
      <c r="N15" s="2">
        <v>0.81944444444444442</v>
      </c>
      <c r="O15" s="2">
        <v>0.87152777777777779</v>
      </c>
      <c r="P15" t="s">
        <v>92</v>
      </c>
      <c r="Q15" s="2">
        <v>0.90625</v>
      </c>
      <c r="R15" s="2">
        <v>0.95833333333333337</v>
      </c>
    </row>
    <row r="16" spans="1:18" x14ac:dyDescent="0.4">
      <c r="A16" t="s">
        <v>14</v>
      </c>
      <c r="B16" s="2">
        <v>0.99305555555555558</v>
      </c>
      <c r="C16" s="2">
        <v>5.9027777777777776E-2</v>
      </c>
      <c r="D16" t="s">
        <v>33</v>
      </c>
      <c r="E16" s="2">
        <v>0.80902777777777779</v>
      </c>
      <c r="F16" s="2">
        <v>0.85763888888888895</v>
      </c>
      <c r="G16" t="s">
        <v>102</v>
      </c>
      <c r="H16" s="2">
        <v>0.79166666666666663</v>
      </c>
      <c r="I16" s="2">
        <v>0.83333333333333326</v>
      </c>
      <c r="J16" t="s">
        <v>107</v>
      </c>
      <c r="K16" s="2">
        <v>0.88541666666666663</v>
      </c>
      <c r="L16" s="2">
        <v>0.92708333333333326</v>
      </c>
      <c r="M16" t="s">
        <v>89</v>
      </c>
      <c r="N16" s="2">
        <v>0.9375</v>
      </c>
      <c r="O16" s="2">
        <v>0.98611111111111116</v>
      </c>
      <c r="P16" t="s">
        <v>91</v>
      </c>
      <c r="Q16" s="2">
        <v>0.82291666666666663</v>
      </c>
      <c r="R16" s="2">
        <v>0.86458333333333326</v>
      </c>
    </row>
    <row r="17" spans="1:18" x14ac:dyDescent="0.4">
      <c r="A17" t="s">
        <v>54</v>
      </c>
      <c r="B17" s="2">
        <v>1.0590277777777777</v>
      </c>
      <c r="C17" s="2">
        <v>1.1041666666666665</v>
      </c>
      <c r="D17" t="s">
        <v>78</v>
      </c>
      <c r="E17" s="2">
        <v>0.71875</v>
      </c>
      <c r="F17" s="2">
        <v>0.76041666666666663</v>
      </c>
      <c r="G17" t="s">
        <v>61</v>
      </c>
      <c r="H17" s="2">
        <v>0.93055555555555558</v>
      </c>
      <c r="I17" s="2">
        <v>0.98263888888888895</v>
      </c>
      <c r="J17" t="s">
        <v>66</v>
      </c>
      <c r="K17" s="2">
        <v>1.0520833333333333</v>
      </c>
      <c r="L17" s="2">
        <v>1.1041666666666665</v>
      </c>
      <c r="M17" t="s">
        <v>87</v>
      </c>
      <c r="N17" s="2">
        <v>0.71875</v>
      </c>
      <c r="O17" s="2">
        <v>0.77083333333333337</v>
      </c>
      <c r="P17" t="s">
        <v>27</v>
      </c>
      <c r="Q17" s="2">
        <v>0.75</v>
      </c>
      <c r="R17" s="2">
        <v>0.80208333333333337</v>
      </c>
    </row>
    <row r="18" spans="1:18" x14ac:dyDescent="0.4">
      <c r="A18" t="s">
        <v>77</v>
      </c>
      <c r="B18" s="2">
        <v>0.9375</v>
      </c>
      <c r="C18" s="2">
        <v>0.97916666666666663</v>
      </c>
      <c r="D18" t="s">
        <v>56</v>
      </c>
      <c r="E18" s="2">
        <v>0.80208333333333337</v>
      </c>
      <c r="F18" s="2">
        <v>0.86458333333333337</v>
      </c>
      <c r="G18" t="s">
        <v>83</v>
      </c>
      <c r="H18" s="2">
        <v>0.93402777777777779</v>
      </c>
      <c r="I18" s="2">
        <v>0.98611111111111116</v>
      </c>
      <c r="J18" t="s">
        <v>84</v>
      </c>
      <c r="K18" s="2">
        <v>0.71875</v>
      </c>
      <c r="L18" s="2">
        <v>0.77083333333333337</v>
      </c>
      <c r="M18" t="s">
        <v>47</v>
      </c>
      <c r="N18" s="2">
        <v>1.0520833333333333</v>
      </c>
      <c r="O18" s="2">
        <v>1.1041666666666665</v>
      </c>
    </row>
    <row r="19" spans="1:18" x14ac:dyDescent="0.4">
      <c r="G19" t="s">
        <v>19</v>
      </c>
      <c r="H19" s="2">
        <v>0.88888888888888884</v>
      </c>
      <c r="I19" s="2">
        <v>0.93055555555555547</v>
      </c>
      <c r="J19" t="s">
        <v>21</v>
      </c>
      <c r="K19" s="2">
        <v>0.77430555555555558</v>
      </c>
      <c r="L19" s="2">
        <v>0.81597222222222221</v>
      </c>
      <c r="M19" t="s">
        <v>25</v>
      </c>
      <c r="N19" s="2">
        <v>0.88194444444444442</v>
      </c>
      <c r="O19" s="2">
        <v>0.93402777777777779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Mardi</vt:lpstr>
      <vt:lpstr>Mercredi</vt:lpstr>
      <vt:lpstr>Jeudi</vt:lpstr>
      <vt:lpstr>Vendredi</vt:lpstr>
      <vt:lpstr>Samedi</vt:lpstr>
      <vt:lpstr>Dimanche</vt:lpstr>
      <vt:lpstr>gSheet</vt:lpstr>
      <vt:lpstr>Concerts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Sébastien SCHIESSER</cp:lastModifiedBy>
  <dcterms:created xsi:type="dcterms:W3CDTF">2026-06-22T14:28:14Z</dcterms:created>
  <dcterms:modified xsi:type="dcterms:W3CDTF">2026-07-16T15:54:37Z</dcterms:modified>
</cp:coreProperties>
</file>