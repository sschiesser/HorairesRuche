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AD976155-314B-4380-806F-0EFE1C59232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rdi" sheetId="1" r:id="rId1"/>
    <sheet name="Mercredi" sheetId="3" r:id="rId2"/>
    <sheet name="Jeudi" sheetId="4" r:id="rId3"/>
    <sheet name="Vendredi" sheetId="5" r:id="rId4"/>
    <sheet name="Samedi" sheetId="6" r:id="rId5"/>
    <sheet name="Dimanche" sheetId="7" r:id="rId6"/>
    <sheet name="Taches" sheetId="2" state="hidden" r:id="rId7"/>
  </sheets>
  <externalReferences>
    <externalReference r:id="rId8"/>
    <externalReference r:id="rId9"/>
  </externalReferences>
  <definedNames>
    <definedName name="FromArray_1">_xlfn.ANCHORARRAY(Mardi!$A$2)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7" l="1"/>
  <c r="A64" i="7"/>
  <c r="A64" i="6"/>
  <c r="B64" i="6"/>
  <c r="A64" i="5"/>
  <c r="B64" i="5"/>
  <c r="A64" i="4"/>
  <c r="B64" i="4"/>
  <c r="A64" i="3"/>
  <c r="B64" i="3"/>
  <c r="B65" i="3"/>
  <c r="A64" i="1"/>
  <c r="B64" i="1"/>
  <c r="A3" i="2" l="1"/>
  <c r="A4" i="2"/>
  <c r="A5" i="2"/>
  <c r="A6" i="2"/>
  <c r="A7" i="2"/>
  <c r="A8" i="2"/>
  <c r="A9" i="2"/>
  <c r="A11" i="2"/>
  <c r="A12" i="2"/>
  <c r="A13" i="2"/>
  <c r="A14" i="2"/>
  <c r="A15" i="2"/>
  <c r="A16" i="2"/>
  <c r="A17" i="2"/>
  <c r="A18" i="2"/>
  <c r="A19" i="2"/>
  <c r="A20" i="2"/>
  <c r="A2" i="2"/>
  <c r="A1" i="2"/>
  <c r="A3" i="5" l="1"/>
  <c r="A4" i="1"/>
  <c r="B4" i="5"/>
  <c r="A5" i="7"/>
  <c r="B5" i="7"/>
  <c r="A6" i="3"/>
  <c r="B6" i="3"/>
  <c r="A7" i="3"/>
  <c r="A10" i="6"/>
  <c r="B10" i="6"/>
  <c r="A11" i="4"/>
  <c r="B11" i="4"/>
  <c r="A12" i="6"/>
  <c r="B12" i="6"/>
  <c r="A13" i="1"/>
  <c r="B13" i="3"/>
  <c r="A14" i="5"/>
  <c r="B14" i="5"/>
  <c r="B17" i="7"/>
  <c r="B18" i="3"/>
  <c r="A19" i="3"/>
  <c r="B19" i="3"/>
  <c r="A20" i="4"/>
  <c r="B20" i="4"/>
  <c r="A21" i="6"/>
  <c r="B21" i="6"/>
  <c r="A25" i="5"/>
  <c r="A26" i="1"/>
  <c r="B26" i="5"/>
  <c r="A27" i="7"/>
  <c r="B27" i="7"/>
  <c r="A28" i="3"/>
  <c r="B28" i="3"/>
  <c r="A29" i="3"/>
  <c r="A32" i="6"/>
  <c r="B32" i="6"/>
  <c r="A33" i="6"/>
  <c r="B33" i="4"/>
  <c r="A34" i="6"/>
  <c r="B34" i="6"/>
  <c r="A35" i="1"/>
  <c r="B35" i="1"/>
  <c r="A36" i="5"/>
  <c r="B36" i="5"/>
  <c r="B39" i="7"/>
  <c r="B40" i="3"/>
  <c r="A41" i="3"/>
  <c r="B41" i="3"/>
  <c r="A42" i="4"/>
  <c r="B42" i="7"/>
  <c r="A43" i="6"/>
  <c r="B43" i="6"/>
  <c r="A47" i="5"/>
  <c r="A48" i="1"/>
  <c r="B48" i="5"/>
  <c r="A49" i="7"/>
  <c r="B49" i="1"/>
  <c r="A50" i="3"/>
  <c r="B50" i="6"/>
  <c r="A51" i="3"/>
  <c r="A54" i="6"/>
  <c r="B54" i="6"/>
  <c r="A55" i="6"/>
  <c r="B55" i="4"/>
  <c r="A56" i="6"/>
  <c r="B56" i="6"/>
  <c r="A57" i="1"/>
  <c r="B57" i="1"/>
  <c r="A58" i="5"/>
  <c r="B58" i="5"/>
  <c r="B61" i="7"/>
  <c r="B62" i="3"/>
  <c r="A63" i="3"/>
  <c r="B63" i="3"/>
  <c r="A2" i="7"/>
  <c r="B2" i="7"/>
  <c r="A3" i="7"/>
  <c r="B3" i="7"/>
  <c r="A4" i="7"/>
  <c r="B4" i="7"/>
  <c r="B7" i="7"/>
  <c r="A8" i="7"/>
  <c r="B8" i="7"/>
  <c r="A9" i="7"/>
  <c r="B9" i="7"/>
  <c r="B11" i="7"/>
  <c r="A12" i="7"/>
  <c r="B12" i="7"/>
  <c r="A15" i="7"/>
  <c r="B15" i="7"/>
  <c r="A16" i="7"/>
  <c r="B16" i="7"/>
  <c r="A17" i="7"/>
  <c r="A18" i="7"/>
  <c r="A22" i="7"/>
  <c r="B22" i="7"/>
  <c r="A23" i="7"/>
  <c r="B23" i="7"/>
  <c r="A24" i="7"/>
  <c r="B24" i="7"/>
  <c r="A25" i="7"/>
  <c r="B25" i="7"/>
  <c r="A26" i="7"/>
  <c r="B26" i="7"/>
  <c r="B29" i="7"/>
  <c r="A30" i="7"/>
  <c r="B30" i="7"/>
  <c r="A31" i="7"/>
  <c r="B31" i="7"/>
  <c r="B33" i="7"/>
  <c r="A34" i="7"/>
  <c r="B34" i="7"/>
  <c r="A37" i="7"/>
  <c r="B37" i="7"/>
  <c r="A38" i="7"/>
  <c r="B38" i="7"/>
  <c r="A39" i="7"/>
  <c r="A40" i="7"/>
  <c r="A44" i="7"/>
  <c r="B44" i="7"/>
  <c r="A45" i="7"/>
  <c r="B45" i="7"/>
  <c r="A46" i="7"/>
  <c r="B46" i="7"/>
  <c r="A47" i="7"/>
  <c r="B47" i="7"/>
  <c r="A48" i="7"/>
  <c r="B48" i="7"/>
  <c r="B51" i="7"/>
  <c r="A52" i="7"/>
  <c r="B52" i="7"/>
  <c r="A53" i="7"/>
  <c r="B53" i="7"/>
  <c r="B55" i="7"/>
  <c r="B56" i="7"/>
  <c r="A59" i="7"/>
  <c r="B59" i="7"/>
  <c r="A60" i="7"/>
  <c r="B60" i="7"/>
  <c r="A61" i="7"/>
  <c r="A62" i="7"/>
  <c r="A2" i="4"/>
  <c r="B2" i="4"/>
  <c r="B3" i="4"/>
  <c r="A4" i="4"/>
  <c r="B4" i="4"/>
  <c r="A5" i="4"/>
  <c r="B7" i="4"/>
  <c r="A8" i="4"/>
  <c r="B8" i="4"/>
  <c r="A9" i="4"/>
  <c r="B9" i="4"/>
  <c r="A15" i="4"/>
  <c r="B15" i="4"/>
  <c r="A16" i="4"/>
  <c r="B16" i="4"/>
  <c r="A17" i="4"/>
  <c r="B17" i="4"/>
  <c r="A18" i="4"/>
  <c r="B18" i="4"/>
  <c r="A19" i="4"/>
  <c r="B19" i="4"/>
  <c r="A22" i="4"/>
  <c r="B22" i="4"/>
  <c r="A23" i="4"/>
  <c r="B23" i="4"/>
  <c r="A24" i="4"/>
  <c r="B24" i="4"/>
  <c r="B25" i="4"/>
  <c r="A26" i="4"/>
  <c r="B26" i="4"/>
  <c r="B29" i="4"/>
  <c r="A30" i="4"/>
  <c r="B30" i="4"/>
  <c r="A31" i="4"/>
  <c r="B31" i="4"/>
  <c r="A37" i="4"/>
  <c r="B37" i="4"/>
  <c r="A38" i="4"/>
  <c r="B38" i="4"/>
  <c r="A39" i="4"/>
  <c r="B39" i="4"/>
  <c r="A40" i="4"/>
  <c r="B40" i="4"/>
  <c r="A41" i="4"/>
  <c r="B41" i="4"/>
  <c r="A44" i="4"/>
  <c r="B44" i="4"/>
  <c r="A45" i="4"/>
  <c r="B45" i="4"/>
  <c r="A46" i="4"/>
  <c r="B46" i="4"/>
  <c r="B47" i="4"/>
  <c r="A48" i="4"/>
  <c r="B48" i="4"/>
  <c r="B51" i="4"/>
  <c r="A52" i="4"/>
  <c r="B52" i="4"/>
  <c r="A53" i="4"/>
  <c r="B53" i="4"/>
  <c r="A59" i="4"/>
  <c r="B59" i="4"/>
  <c r="A60" i="4"/>
  <c r="B60" i="4"/>
  <c r="A61" i="4"/>
  <c r="B61" i="4"/>
  <c r="A62" i="4"/>
  <c r="B62" i="4"/>
  <c r="A63" i="4"/>
  <c r="B63" i="4"/>
  <c r="A2" i="1"/>
  <c r="B2" i="1"/>
  <c r="B3" i="1"/>
  <c r="B5" i="1"/>
  <c r="B7" i="1"/>
  <c r="A8" i="1"/>
  <c r="B8" i="1"/>
  <c r="A9" i="1"/>
  <c r="B9" i="1"/>
  <c r="A10" i="1"/>
  <c r="B10" i="1"/>
  <c r="A11" i="1"/>
  <c r="B11" i="1"/>
  <c r="A12" i="1"/>
  <c r="B12" i="1"/>
  <c r="A15" i="1"/>
  <c r="B15" i="1"/>
  <c r="A16" i="1"/>
  <c r="B16" i="1"/>
  <c r="A17" i="1"/>
  <c r="B17" i="1"/>
  <c r="A18" i="1"/>
  <c r="B18" i="1"/>
  <c r="A22" i="1"/>
  <c r="B22" i="1"/>
  <c r="A23" i="1"/>
  <c r="B23" i="1"/>
  <c r="A24" i="1"/>
  <c r="B24" i="1"/>
  <c r="B25" i="1"/>
  <c r="B29" i="1"/>
  <c r="A30" i="1"/>
  <c r="B30" i="1"/>
  <c r="A31" i="1"/>
  <c r="B31" i="1"/>
  <c r="A32" i="1"/>
  <c r="B32" i="1"/>
  <c r="A33" i="1"/>
  <c r="B33" i="1"/>
  <c r="A34" i="1"/>
  <c r="B34" i="1"/>
  <c r="A37" i="1"/>
  <c r="B37" i="1"/>
  <c r="A38" i="1"/>
  <c r="B38" i="1"/>
  <c r="A39" i="1"/>
  <c r="B39" i="1"/>
  <c r="A40" i="1"/>
  <c r="B40" i="1"/>
  <c r="A44" i="1"/>
  <c r="B44" i="1"/>
  <c r="A45" i="1"/>
  <c r="B45" i="1"/>
  <c r="A46" i="1"/>
  <c r="B46" i="1"/>
  <c r="B47" i="1"/>
  <c r="B51" i="1"/>
  <c r="A52" i="1"/>
  <c r="B52" i="1"/>
  <c r="A53" i="1"/>
  <c r="B53" i="1"/>
  <c r="A54" i="1"/>
  <c r="B54" i="1"/>
  <c r="A55" i="1"/>
  <c r="B55" i="1"/>
  <c r="A56" i="1"/>
  <c r="B56" i="1"/>
  <c r="A59" i="1"/>
  <c r="B59" i="1"/>
  <c r="A60" i="1"/>
  <c r="B60" i="1"/>
  <c r="A61" i="1"/>
  <c r="B61" i="1"/>
  <c r="A62" i="1"/>
  <c r="B62" i="1"/>
  <c r="A2" i="3"/>
  <c r="B2" i="3"/>
  <c r="A3" i="3"/>
  <c r="B3" i="3"/>
  <c r="A4" i="3"/>
  <c r="B4" i="3"/>
  <c r="A5" i="3"/>
  <c r="B5" i="3"/>
  <c r="B7" i="3"/>
  <c r="A8" i="3"/>
  <c r="B8" i="3"/>
  <c r="A9" i="3"/>
  <c r="B9" i="3"/>
  <c r="A10" i="3"/>
  <c r="B10" i="3"/>
  <c r="B11" i="3"/>
  <c r="A15" i="3"/>
  <c r="B15" i="3"/>
  <c r="A16" i="3"/>
  <c r="B16" i="3"/>
  <c r="A17" i="3"/>
  <c r="B17" i="3"/>
  <c r="A18" i="3"/>
  <c r="A22" i="3"/>
  <c r="B22" i="3"/>
  <c r="A23" i="3"/>
  <c r="B23" i="3"/>
  <c r="A24" i="3"/>
  <c r="B24" i="3"/>
  <c r="A25" i="3"/>
  <c r="B25" i="3"/>
  <c r="A26" i="3"/>
  <c r="B26" i="3"/>
  <c r="A27" i="3"/>
  <c r="B27" i="3"/>
  <c r="B29" i="3"/>
  <c r="A30" i="3"/>
  <c r="B30" i="3"/>
  <c r="A31" i="3"/>
  <c r="B31" i="3"/>
  <c r="A32" i="3"/>
  <c r="B32" i="3"/>
  <c r="B33" i="3"/>
  <c r="A37" i="3"/>
  <c r="B37" i="3"/>
  <c r="A38" i="3"/>
  <c r="B38" i="3"/>
  <c r="A39" i="3"/>
  <c r="B39" i="3"/>
  <c r="A40" i="3"/>
  <c r="A44" i="3"/>
  <c r="B44" i="3"/>
  <c r="A45" i="3"/>
  <c r="B45" i="3"/>
  <c r="A46" i="3"/>
  <c r="B46" i="3"/>
  <c r="A47" i="3"/>
  <c r="B47" i="3"/>
  <c r="A48" i="3"/>
  <c r="B48" i="3"/>
  <c r="A49" i="3"/>
  <c r="B49" i="3"/>
  <c r="B51" i="3"/>
  <c r="A52" i="3"/>
  <c r="B52" i="3"/>
  <c r="A53" i="3"/>
  <c r="B53" i="3"/>
  <c r="A54" i="3"/>
  <c r="B54" i="3"/>
  <c r="B55" i="3"/>
  <c r="A59" i="3"/>
  <c r="B59" i="3"/>
  <c r="A60" i="3"/>
  <c r="B60" i="3"/>
  <c r="A61" i="3"/>
  <c r="B61" i="3"/>
  <c r="A62" i="3"/>
  <c r="A2" i="6"/>
  <c r="B2" i="6"/>
  <c r="B3" i="6"/>
  <c r="A4" i="6"/>
  <c r="B4" i="6"/>
  <c r="B7" i="6"/>
  <c r="A8" i="6"/>
  <c r="B8" i="6"/>
  <c r="A9" i="6"/>
  <c r="B9" i="6"/>
  <c r="A11" i="6"/>
  <c r="B11" i="6"/>
  <c r="A15" i="6"/>
  <c r="B15" i="6"/>
  <c r="A16" i="6"/>
  <c r="B16" i="6"/>
  <c r="A17" i="6"/>
  <c r="B17" i="6"/>
  <c r="A18" i="6"/>
  <c r="B18" i="6"/>
  <c r="A19" i="6"/>
  <c r="B19" i="6"/>
  <c r="A20" i="6"/>
  <c r="B20" i="6"/>
  <c r="A22" i="6"/>
  <c r="B22" i="6"/>
  <c r="A23" i="6"/>
  <c r="B23" i="6"/>
  <c r="A24" i="6"/>
  <c r="B24" i="6"/>
  <c r="B25" i="6"/>
  <c r="A26" i="6"/>
  <c r="B26" i="6"/>
  <c r="B29" i="6"/>
  <c r="A30" i="6"/>
  <c r="B30" i="6"/>
  <c r="A31" i="6"/>
  <c r="B31" i="6"/>
  <c r="B33" i="6"/>
  <c r="A37" i="6"/>
  <c r="B37" i="6"/>
  <c r="A38" i="6"/>
  <c r="B38" i="6"/>
  <c r="A39" i="6"/>
  <c r="B39" i="6"/>
  <c r="A40" i="6"/>
  <c r="B40" i="6"/>
  <c r="A41" i="6"/>
  <c r="B41" i="6"/>
  <c r="A42" i="6"/>
  <c r="B42" i="6"/>
  <c r="A44" i="6"/>
  <c r="B44" i="6"/>
  <c r="A45" i="6"/>
  <c r="B45" i="6"/>
  <c r="A46" i="6"/>
  <c r="B46" i="6"/>
  <c r="B47" i="6"/>
  <c r="A48" i="6"/>
  <c r="B48" i="6"/>
  <c r="B51" i="6"/>
  <c r="A52" i="6"/>
  <c r="B52" i="6"/>
  <c r="A53" i="6"/>
  <c r="B53" i="6"/>
  <c r="B55" i="6"/>
  <c r="A59" i="6"/>
  <c r="B59" i="6"/>
  <c r="A60" i="6"/>
  <c r="B60" i="6"/>
  <c r="A61" i="6"/>
  <c r="B61" i="6"/>
  <c r="A62" i="6"/>
  <c r="B62" i="6"/>
  <c r="A63" i="6"/>
  <c r="B63" i="6"/>
  <c r="A2" i="5"/>
  <c r="B2" i="5"/>
  <c r="B3" i="5"/>
  <c r="A4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5" i="5"/>
  <c r="B15" i="5"/>
  <c r="A16" i="5"/>
  <c r="B16" i="5"/>
  <c r="A17" i="5"/>
  <c r="B17" i="5"/>
  <c r="A18" i="5"/>
  <c r="B18" i="5"/>
  <c r="A22" i="5"/>
  <c r="B22" i="5"/>
  <c r="A23" i="5"/>
  <c r="B23" i="5"/>
  <c r="A24" i="5"/>
  <c r="B24" i="5"/>
  <c r="B25" i="5"/>
  <c r="A26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7" i="5"/>
  <c r="B37" i="5"/>
  <c r="A38" i="5"/>
  <c r="B38" i="5"/>
  <c r="A39" i="5"/>
  <c r="B39" i="5"/>
  <c r="A40" i="5"/>
  <c r="B40" i="5"/>
  <c r="A44" i="5"/>
  <c r="B44" i="5"/>
  <c r="A45" i="5"/>
  <c r="B45" i="5"/>
  <c r="A46" i="5"/>
  <c r="B46" i="5"/>
  <c r="B47" i="5"/>
  <c r="A48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9" i="5"/>
  <c r="B59" i="5"/>
  <c r="A60" i="5"/>
  <c r="B60" i="5"/>
  <c r="A61" i="5"/>
  <c r="B61" i="5"/>
  <c r="A62" i="5"/>
  <c r="B62" i="5"/>
  <c r="A51" i="4" l="1"/>
  <c r="A14" i="7"/>
  <c r="B21" i="1"/>
  <c r="B28" i="4"/>
  <c r="B6" i="4"/>
  <c r="B57" i="7"/>
  <c r="B35" i="7"/>
  <c r="A51" i="6"/>
  <c r="A7" i="6"/>
  <c r="A58" i="3"/>
  <c r="A14" i="3"/>
  <c r="A6" i="4"/>
  <c r="B49" i="6"/>
  <c r="B27" i="6"/>
  <c r="B5" i="6"/>
  <c r="B56" i="3"/>
  <c r="B34" i="3"/>
  <c r="B12" i="3"/>
  <c r="B63" i="1"/>
  <c r="B41" i="1"/>
  <c r="A42" i="5"/>
  <c r="A20" i="5"/>
  <c r="A49" i="6"/>
  <c r="A27" i="6"/>
  <c r="A5" i="6"/>
  <c r="A56" i="3"/>
  <c r="A34" i="3"/>
  <c r="A12" i="3"/>
  <c r="A63" i="1"/>
  <c r="A41" i="1"/>
  <c r="A19" i="1"/>
  <c r="A55" i="7"/>
  <c r="A33" i="7"/>
  <c r="A11" i="7"/>
  <c r="B28" i="6"/>
  <c r="B20" i="5"/>
  <c r="B19" i="1"/>
  <c r="B19" i="5"/>
  <c r="B14" i="4"/>
  <c r="B54" i="7"/>
  <c r="B43" i="7"/>
  <c r="B32" i="7"/>
  <c r="B10" i="7"/>
  <c r="B58" i="7"/>
  <c r="B36" i="7"/>
  <c r="B14" i="7"/>
  <c r="A58" i="7"/>
  <c r="B35" i="3"/>
  <c r="A57" i="3"/>
  <c r="A56" i="7"/>
  <c r="B63" i="5"/>
  <c r="B41" i="5"/>
  <c r="B58" i="4"/>
  <c r="B36" i="4"/>
  <c r="B21" i="7"/>
  <c r="A63" i="5"/>
  <c r="A41" i="5"/>
  <c r="A19" i="5"/>
  <c r="A55" i="3"/>
  <c r="A33" i="3"/>
  <c r="A11" i="3"/>
  <c r="A51" i="1"/>
  <c r="A29" i="1"/>
  <c r="A7" i="1"/>
  <c r="A58" i="4"/>
  <c r="A47" i="4"/>
  <c r="A36" i="4"/>
  <c r="A25" i="4"/>
  <c r="A14" i="4"/>
  <c r="A3" i="4"/>
  <c r="A54" i="7"/>
  <c r="A43" i="7"/>
  <c r="A32" i="7"/>
  <c r="A21" i="7"/>
  <c r="A10" i="7"/>
  <c r="A7" i="4"/>
  <c r="B21" i="5"/>
  <c r="B42" i="1"/>
  <c r="B27" i="4"/>
  <c r="A43" i="5"/>
  <c r="A50" i="6"/>
  <c r="B21" i="3"/>
  <c r="B13" i="4"/>
  <c r="A51" i="5"/>
  <c r="A29" i="5"/>
  <c r="A7" i="5"/>
  <c r="A58" i="6"/>
  <c r="A47" i="6"/>
  <c r="A36" i="6"/>
  <c r="A25" i="6"/>
  <c r="A14" i="6"/>
  <c r="A3" i="6"/>
  <c r="A43" i="3"/>
  <c r="A21" i="3"/>
  <c r="A50" i="1"/>
  <c r="A28" i="1"/>
  <c r="A6" i="1"/>
  <c r="A57" i="4"/>
  <c r="A35" i="4"/>
  <c r="A13" i="4"/>
  <c r="A42" i="7"/>
  <c r="A20" i="7"/>
  <c r="B56" i="4"/>
  <c r="B34" i="4"/>
  <c r="B12" i="4"/>
  <c r="B63" i="7"/>
  <c r="B41" i="7"/>
  <c r="B19" i="7"/>
  <c r="B58" i="3"/>
  <c r="A6" i="5"/>
  <c r="A57" i="6"/>
  <c r="A35" i="6"/>
  <c r="A13" i="6"/>
  <c r="A42" i="3"/>
  <c r="A20" i="3"/>
  <c r="A49" i="1"/>
  <c r="A27" i="1"/>
  <c r="A5" i="1"/>
  <c r="A56" i="4"/>
  <c r="A34" i="4"/>
  <c r="A12" i="4"/>
  <c r="A63" i="7"/>
  <c r="A41" i="7"/>
  <c r="A19" i="7"/>
  <c r="B36" i="3"/>
  <c r="B36" i="6"/>
  <c r="A50" i="5"/>
  <c r="B5" i="5"/>
  <c r="B48" i="1"/>
  <c r="B26" i="1"/>
  <c r="B4" i="1"/>
  <c r="B62" i="7"/>
  <c r="B40" i="7"/>
  <c r="B18" i="7"/>
  <c r="A29" i="4"/>
  <c r="B13" i="7"/>
  <c r="A13" i="3"/>
  <c r="A20" i="1"/>
  <c r="A49" i="4"/>
  <c r="B20" i="3"/>
  <c r="B27" i="5"/>
  <c r="A49" i="5"/>
  <c r="A27" i="5"/>
  <c r="A5" i="5"/>
  <c r="A55" i="4"/>
  <c r="A33" i="4"/>
  <c r="A51" i="7"/>
  <c r="A29" i="7"/>
  <c r="A7" i="7"/>
  <c r="B14" i="3"/>
  <c r="A57" i="7"/>
  <c r="A13" i="7"/>
  <c r="B6" i="6"/>
  <c r="B57" i="3"/>
  <c r="B20" i="1"/>
  <c r="B14" i="6"/>
  <c r="B43" i="3"/>
  <c r="B42" i="3"/>
  <c r="B58" i="1"/>
  <c r="B36" i="1"/>
  <c r="B14" i="1"/>
  <c r="B54" i="4"/>
  <c r="B43" i="4"/>
  <c r="B32" i="4"/>
  <c r="B21" i="4"/>
  <c r="B10" i="4"/>
  <c r="B50" i="7"/>
  <c r="B28" i="7"/>
  <c r="B6" i="7"/>
  <c r="A36" i="7"/>
  <c r="B50" i="4"/>
  <c r="A29" i="6"/>
  <c r="A36" i="3"/>
  <c r="A43" i="1"/>
  <c r="A21" i="1"/>
  <c r="A50" i="4"/>
  <c r="A35" i="7"/>
  <c r="B43" i="5"/>
  <c r="B49" i="4"/>
  <c r="B5" i="4"/>
  <c r="A42" i="1"/>
  <c r="A27" i="4"/>
  <c r="B42" i="5"/>
  <c r="B58" i="6"/>
  <c r="B50" i="1"/>
  <c r="B28" i="1"/>
  <c r="B6" i="1"/>
  <c r="B57" i="4"/>
  <c r="B35" i="4"/>
  <c r="B20" i="7"/>
  <c r="B50" i="5"/>
  <c r="B28" i="5"/>
  <c r="B6" i="5"/>
  <c r="B57" i="6"/>
  <c r="B35" i="6"/>
  <c r="B13" i="6"/>
  <c r="B27" i="1"/>
  <c r="A28" i="5"/>
  <c r="B49" i="5"/>
  <c r="A58" i="1"/>
  <c r="A47" i="1"/>
  <c r="A36" i="1"/>
  <c r="A25" i="1"/>
  <c r="A14" i="1"/>
  <c r="A3" i="1"/>
  <c r="A54" i="4"/>
  <c r="A43" i="4"/>
  <c r="A32" i="4"/>
  <c r="A21" i="4"/>
  <c r="A10" i="4"/>
  <c r="A50" i="7"/>
  <c r="A28" i="7"/>
  <c r="A6" i="7"/>
  <c r="B43" i="1"/>
  <c r="A28" i="4"/>
  <c r="A28" i="6"/>
  <c r="B50" i="3"/>
  <c r="B13" i="1"/>
  <c r="B42" i="4"/>
  <c r="B49" i="7"/>
  <c r="A21" i="5"/>
  <c r="A6" i="6"/>
  <c r="A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F69FE-AE1D-4432-B3EA-5660AFEA46CA}" keepAlive="1" name="Query - FromArray_1" description="Connection to the 'FromArray_1' query in the workbook." type="5" refreshedVersion="0" background="1">
    <dbPr connection="Provider=Microsoft.Mashup.OleDb.1;Data Source=$Workbook$;Location=FromArray_1;Extended Properties=&quot;&quot;" command="SELECT * FROM [FromArray_1]"/>
  </connection>
</connections>
</file>

<file path=xl/sharedStrings.xml><?xml version="1.0" encoding="utf-8"?>
<sst xmlns="http://schemas.openxmlformats.org/spreadsheetml/2006/main" count="50" uniqueCount="11">
  <si>
    <t>Nom</t>
  </si>
  <si>
    <t>Prénom</t>
  </si>
  <si>
    <t>Tâche</t>
  </si>
  <si>
    <t>Début</t>
  </si>
  <si>
    <t>Fin</t>
  </si>
  <si>
    <t>Tech PCGB</t>
  </si>
  <si>
    <t>Tech Muchmuche</t>
  </si>
  <si>
    <t>Tech T'es rien…</t>
  </si>
  <si>
    <t>Stageman</t>
  </si>
  <si>
    <t>Tech Jacquard</t>
  </si>
  <si>
    <t>Tech Phusis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</si>
</sst>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0" fontId="1" fillId="2" borderId="0" xfId="0" applyFont="1" applyFill="1"/>
    <xf numFmtId="20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182216</xdr:rowOff>
    </xdr:from>
    <xdr:to>
      <xdr:col>11</xdr:col>
      <xdr:colOff>17868</xdr:colOff>
      <xdr:row>16</xdr:row>
      <xdr:rowOff>176695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F3CA9-5645-4975-92BB-EEE62CE76311}"/>
            </a:ext>
          </a:extLst>
        </xdr:cNvPr>
        <xdr:cNvSpPr txBox="1"/>
      </xdr:nvSpPr>
      <xdr:spPr>
        <a:xfrm>
          <a:off x="4897783" y="182216"/>
          <a:ext cx="3275694" cy="290995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0" indent="0">
            <a:buFont typeface="Arial" panose="020B0604020202020204" pitchFamily="34" charset="0"/>
            <a:buNone/>
          </a:pPr>
          <a:r>
            <a:rPr lang="en-GB" sz="1100" b="1" baseline="0"/>
            <a:t>Utilisation 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Sélectionner une tâche dans la liste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Entrer les heures de début et de fin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17868</xdr:colOff>
      <xdr:row>16</xdr:row>
      <xdr:rowOff>43503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FA8ABF-1F62-4F59-AE1E-A6C578C77DEB}"/>
            </a:ext>
          </a:extLst>
        </xdr:cNvPr>
        <xdr:cNvSpPr txBox="1"/>
      </xdr:nvSpPr>
      <xdr:spPr>
        <a:xfrm>
          <a:off x="4897783" y="182217"/>
          <a:ext cx="3275694" cy="277676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Utilisation :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une tâche dans la liste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Entrer les heures de début et de fin</a:t>
          </a:r>
          <a:endParaRPr lang="en-GB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17868</xdr:colOff>
      <xdr:row>16</xdr:row>
      <xdr:rowOff>43503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3C4576-005E-477F-9FB0-561A61179896}"/>
            </a:ext>
          </a:extLst>
        </xdr:cNvPr>
        <xdr:cNvSpPr txBox="1"/>
      </xdr:nvSpPr>
      <xdr:spPr>
        <a:xfrm>
          <a:off x="4897783" y="182217"/>
          <a:ext cx="3275694" cy="277676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Utilisation :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une tâche dans la liste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Entrer les heures de début et de fin</a:t>
          </a:r>
          <a:endParaRPr lang="en-GB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17868</xdr:colOff>
      <xdr:row>16</xdr:row>
      <xdr:rowOff>43503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ED8FF9-16FC-4183-B494-7134C84FFE7C}"/>
            </a:ext>
          </a:extLst>
        </xdr:cNvPr>
        <xdr:cNvSpPr txBox="1"/>
      </xdr:nvSpPr>
      <xdr:spPr>
        <a:xfrm>
          <a:off x="4897783" y="182217"/>
          <a:ext cx="3275694" cy="277676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Utilisation :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une tâche dans la liste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Entrer les heures de début et de fin</a:t>
          </a:r>
          <a:endParaRPr lang="en-GB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17868</xdr:colOff>
      <xdr:row>16</xdr:row>
      <xdr:rowOff>43503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6BD9EE-FE00-4EF5-B494-A062B5E6728B}"/>
            </a:ext>
          </a:extLst>
        </xdr:cNvPr>
        <xdr:cNvSpPr txBox="1"/>
      </xdr:nvSpPr>
      <xdr:spPr>
        <a:xfrm>
          <a:off x="4897783" y="182217"/>
          <a:ext cx="3275694" cy="277676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Utilisation :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une tâche dans la liste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Entrer les heures de début et de fin</a:t>
          </a:r>
          <a:endParaRPr lang="en-GB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17868</xdr:colOff>
      <xdr:row>16</xdr:row>
      <xdr:rowOff>43503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0E683-1DD5-4497-98A8-54476C3CE834}"/>
            </a:ext>
          </a:extLst>
        </xdr:cNvPr>
        <xdr:cNvSpPr txBox="1"/>
      </xdr:nvSpPr>
      <xdr:spPr>
        <a:xfrm>
          <a:off x="4897783" y="182217"/>
          <a:ext cx="3275694" cy="2776764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Shifts fixes</a:t>
          </a:r>
          <a:endParaRPr lang="en-GB" sz="2400" b="1" u="sng" baseline="0"/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faite pour les personnes qui sont assignées à une compagnie (accueil technique ou déambulation), indépendamment des autres shifts du jour.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Les responsables de secteur qui s'auto-gèrent se trouvent dans le fichier "personnes.xlsx"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donc sensée rester en grande partie vide!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Utilisation :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une tâche dans la liste</a:t>
          </a:r>
          <a:endParaRPr lang="en-GB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Entrer les heures de début et de fin</a:t>
          </a:r>
          <a:endParaRPr lang="en-GB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schies1\_code\1.09_VScode\06_VoeuxConcerts\data\personnes.xlsx" TargetMode="External"/><Relationship Id="rId1" Type="http://schemas.openxmlformats.org/officeDocument/2006/relationships/externalLinkPath" Target="person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schies1\_code\1.09_VScode\06_VoeuxConcerts\data\plages_horaires.xlsx" TargetMode="External"/><Relationship Id="rId1" Type="http://schemas.openxmlformats.org/officeDocument/2006/relationships/externalLinkPath" Target="plages_horai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nes"/>
      <sheetName val="LOOKUP"/>
    </sheetNames>
    <sheetDataSet>
      <sheetData sheetId="0">
        <row r="2">
          <cell r="A2" t="str">
            <v>Bouvet</v>
          </cell>
          <cell r="B2" t="str">
            <v>Agathe</v>
          </cell>
        </row>
        <row r="3">
          <cell r="A3" t="str">
            <v>Bulka</v>
          </cell>
          <cell r="B3" t="str">
            <v>Alegria Lily</v>
          </cell>
        </row>
        <row r="4">
          <cell r="A4" t="str">
            <v>Bastian</v>
          </cell>
          <cell r="B4" t="str">
            <v>Alexandra</v>
          </cell>
        </row>
        <row r="5">
          <cell r="A5" t="str">
            <v>L'Horset</v>
          </cell>
          <cell r="B5" t="str">
            <v>Alice</v>
          </cell>
        </row>
        <row r="6">
          <cell r="A6" t="str">
            <v>Ledru</v>
          </cell>
          <cell r="B6" t="str">
            <v>Ana-Lou</v>
          </cell>
        </row>
        <row r="7">
          <cell r="A7" t="str">
            <v>Pero</v>
          </cell>
          <cell r="B7" t="str">
            <v>Andy</v>
          </cell>
        </row>
        <row r="8">
          <cell r="A8" t="str">
            <v>Mallet</v>
          </cell>
          <cell r="B8" t="str">
            <v>Anna</v>
          </cell>
        </row>
        <row r="9">
          <cell r="A9" t="str">
            <v>Malric</v>
          </cell>
          <cell r="B9" t="str">
            <v>Annouk</v>
          </cell>
        </row>
        <row r="10">
          <cell r="A10" t="str">
            <v>Noël</v>
          </cell>
          <cell r="B10" t="str">
            <v>Antonin</v>
          </cell>
        </row>
        <row r="11">
          <cell r="A11" t="str">
            <v>Tessier</v>
          </cell>
          <cell r="B11" t="str">
            <v>Arsène</v>
          </cell>
        </row>
        <row r="12">
          <cell r="A12" t="str">
            <v>Uldry</v>
          </cell>
          <cell r="B12" t="str">
            <v>Arthur</v>
          </cell>
        </row>
        <row r="13">
          <cell r="A13" t="str">
            <v>Marchand</v>
          </cell>
          <cell r="B13" t="str">
            <v>Athénaé</v>
          </cell>
        </row>
        <row r="14">
          <cell r="A14" t="str">
            <v>Magerand</v>
          </cell>
          <cell r="B14" t="str">
            <v>Auxence</v>
          </cell>
        </row>
        <row r="15">
          <cell r="A15" t="str">
            <v>Baruch</v>
          </cell>
          <cell r="B15" t="str">
            <v>Ava</v>
          </cell>
        </row>
        <row r="16">
          <cell r="A16" t="str">
            <v>Detrain</v>
          </cell>
          <cell r="B16" t="str">
            <v>Benoît</v>
          </cell>
        </row>
        <row r="17">
          <cell r="A17" t="str">
            <v>Meige</v>
          </cell>
          <cell r="B17" t="str">
            <v>Corentin</v>
          </cell>
        </row>
        <row r="18">
          <cell r="A18" t="str">
            <v>De Filippo</v>
          </cell>
          <cell r="B18" t="str">
            <v>Emma</v>
          </cell>
        </row>
        <row r="19">
          <cell r="A19" t="str">
            <v>Prouvost</v>
          </cell>
          <cell r="B19" t="str">
            <v>Eugénie</v>
          </cell>
        </row>
        <row r="20">
          <cell r="A20" t="str">
            <v xml:space="preserve">Rakotonandrasana </v>
          </cell>
          <cell r="B20" t="str">
            <v>Iris</v>
          </cell>
        </row>
        <row r="21">
          <cell r="A21" t="str">
            <v>Bürgisser</v>
          </cell>
          <cell r="B21" t="str">
            <v>Jamilah</v>
          </cell>
        </row>
        <row r="22">
          <cell r="A22" t="str">
            <v>Ruscio</v>
          </cell>
          <cell r="B22" t="str">
            <v>Jolan</v>
          </cell>
        </row>
        <row r="23">
          <cell r="A23" t="str">
            <v>Wuilloud</v>
          </cell>
          <cell r="B23" t="str">
            <v xml:space="preserve">Jonas </v>
          </cell>
        </row>
        <row r="24">
          <cell r="A24" t="str">
            <v>Pirolley</v>
          </cell>
          <cell r="B24" t="str">
            <v>Jules</v>
          </cell>
        </row>
        <row r="25">
          <cell r="A25" t="str">
            <v>Chavaillaz</v>
          </cell>
          <cell r="B25" t="str">
            <v>Julie</v>
          </cell>
        </row>
        <row r="26">
          <cell r="A26" t="str">
            <v>Oeschger</v>
          </cell>
          <cell r="B26" t="str">
            <v>Kristel</v>
          </cell>
        </row>
        <row r="27">
          <cell r="A27" t="str">
            <v>Baltzinger</v>
          </cell>
          <cell r="B27" t="str">
            <v>Léa</v>
          </cell>
        </row>
        <row r="28">
          <cell r="A28" t="str">
            <v>Chambaz</v>
          </cell>
          <cell r="B28" t="str">
            <v>Léa</v>
          </cell>
        </row>
        <row r="29">
          <cell r="A29" t="str">
            <v>Jaquet</v>
          </cell>
          <cell r="B29" t="str">
            <v>Lisa</v>
          </cell>
        </row>
        <row r="30">
          <cell r="A30" t="str">
            <v>Magnin</v>
          </cell>
          <cell r="B30" t="str">
            <v>Lisa</v>
          </cell>
        </row>
        <row r="31">
          <cell r="A31" t="str">
            <v>Cardis</v>
          </cell>
          <cell r="B31" t="str">
            <v>Louis</v>
          </cell>
        </row>
        <row r="32">
          <cell r="A32" t="str">
            <v>Post</v>
          </cell>
          <cell r="B32" t="str">
            <v>Louis</v>
          </cell>
        </row>
        <row r="33">
          <cell r="A33" t="str">
            <v>Blanchard</v>
          </cell>
          <cell r="B33" t="str">
            <v>Louise</v>
          </cell>
        </row>
        <row r="34">
          <cell r="A34" t="str">
            <v>Chastroux</v>
          </cell>
          <cell r="B34" t="str">
            <v>Lucas</v>
          </cell>
        </row>
        <row r="35">
          <cell r="A35" t="str">
            <v>Meyer</v>
          </cell>
          <cell r="B35" t="str">
            <v>Lucie</v>
          </cell>
        </row>
        <row r="36">
          <cell r="A36" t="str">
            <v>Ménétrey</v>
          </cell>
          <cell r="B36" t="str">
            <v>Maëlan</v>
          </cell>
        </row>
        <row r="37">
          <cell r="A37" t="str">
            <v>Chambaz</v>
          </cell>
          <cell r="B37" t="str">
            <v>Maëlle</v>
          </cell>
        </row>
        <row r="38">
          <cell r="A38" t="str">
            <v>Felix</v>
          </cell>
          <cell r="B38" t="str">
            <v>Marius</v>
          </cell>
        </row>
        <row r="39">
          <cell r="A39" t="str">
            <v>Ledru</v>
          </cell>
          <cell r="B39" t="str">
            <v>Marot</v>
          </cell>
        </row>
        <row r="40">
          <cell r="A40" t="str">
            <v>Cuinet</v>
          </cell>
          <cell r="B40" t="str">
            <v>Mathis</v>
          </cell>
        </row>
        <row r="41">
          <cell r="A41" t="str">
            <v>Gavin</v>
          </cell>
          <cell r="B41" t="str">
            <v>Matteo</v>
          </cell>
        </row>
        <row r="42">
          <cell r="A42" t="str">
            <v>Debray</v>
          </cell>
          <cell r="B42" t="str">
            <v>Maxime</v>
          </cell>
        </row>
        <row r="43">
          <cell r="A43" t="str">
            <v>Corbelli</v>
          </cell>
          <cell r="B43" t="str">
            <v>Maya</v>
          </cell>
        </row>
        <row r="44">
          <cell r="A44" t="str">
            <v>Pasche</v>
          </cell>
          <cell r="B44" t="str">
            <v>Mickaël</v>
          </cell>
        </row>
        <row r="45">
          <cell r="A45" t="str">
            <v>Ménard</v>
          </cell>
          <cell r="B45" t="str">
            <v>Mireille</v>
          </cell>
        </row>
        <row r="46">
          <cell r="A46" t="str">
            <v>Fargues</v>
          </cell>
          <cell r="B46" t="str">
            <v>Morgana</v>
          </cell>
        </row>
        <row r="47">
          <cell r="A47" t="str">
            <v>Scyboz (Lambelet)</v>
          </cell>
          <cell r="B47" t="str">
            <v>Morgane</v>
          </cell>
        </row>
        <row r="48">
          <cell r="A48" t="str">
            <v>Koux</v>
          </cell>
          <cell r="B48" t="str">
            <v>Nathalia</v>
          </cell>
        </row>
        <row r="49">
          <cell r="A49" t="str">
            <v>Cherpillod</v>
          </cell>
          <cell r="B49" t="str">
            <v>Noah</v>
          </cell>
        </row>
        <row r="50">
          <cell r="A50" t="str">
            <v>Chambaz</v>
          </cell>
          <cell r="B50" t="str">
            <v>Patrick</v>
          </cell>
        </row>
        <row r="51">
          <cell r="A51" t="str">
            <v>Assaoui</v>
          </cell>
          <cell r="B51" t="str">
            <v>Rama</v>
          </cell>
        </row>
        <row r="52">
          <cell r="A52" t="str">
            <v>Lacroze</v>
          </cell>
          <cell r="B52" t="str">
            <v>Raphaël</v>
          </cell>
        </row>
        <row r="53">
          <cell r="A53" t="str">
            <v>Neidhart</v>
          </cell>
          <cell r="B53" t="str">
            <v>Raphaëlle</v>
          </cell>
        </row>
        <row r="54">
          <cell r="A54" t="str">
            <v xml:space="preserve">Lanni </v>
          </cell>
          <cell r="B54" t="str">
            <v>Roxanne</v>
          </cell>
        </row>
        <row r="55">
          <cell r="A55" t="str">
            <v>Schiesser</v>
          </cell>
          <cell r="B55" t="str">
            <v>Sébastien</v>
          </cell>
        </row>
        <row r="56">
          <cell r="A56" t="str">
            <v>Lambelet</v>
          </cell>
          <cell r="B56" t="str">
            <v>Simon</v>
          </cell>
        </row>
        <row r="57">
          <cell r="A57" t="str">
            <v>Cyprien</v>
          </cell>
          <cell r="B57" t="str">
            <v>Theo</v>
          </cell>
        </row>
        <row r="58">
          <cell r="A58" t="str">
            <v>Clerici</v>
          </cell>
          <cell r="B58" t="str">
            <v>Thibault</v>
          </cell>
        </row>
        <row r="59">
          <cell r="A59" t="str">
            <v>Lagier</v>
          </cell>
          <cell r="B59" t="str">
            <v>Tician</v>
          </cell>
        </row>
        <row r="60">
          <cell r="A60" t="str">
            <v>Ménétrey</v>
          </cell>
          <cell r="B60" t="str">
            <v>Titouan</v>
          </cell>
        </row>
        <row r="61">
          <cell r="A61" t="str">
            <v>Clerici</v>
          </cell>
          <cell r="B61" t="str">
            <v>Tristan</v>
          </cell>
        </row>
        <row r="62">
          <cell r="A62" t="str">
            <v>Bally</v>
          </cell>
          <cell r="B62" t="str">
            <v>Yann</v>
          </cell>
        </row>
        <row r="63">
          <cell r="A63" t="str">
            <v>Ménétrey</v>
          </cell>
          <cell r="B63" t="str">
            <v>Ysatis</v>
          </cell>
        </row>
        <row r="64">
          <cell r="A64" t="str">
            <v>Scyboz (Lambelet)</v>
          </cell>
          <cell r="B64" t="str">
            <v>Alex</v>
          </cell>
        </row>
        <row r="65">
          <cell r="B65" t="str">
            <v>Frank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di"/>
      <sheetName val="Mercredi"/>
      <sheetName val="Jeudi"/>
      <sheetName val="Vendredi"/>
      <sheetName val="Samedi"/>
      <sheetName val="Dimanche"/>
      <sheetName val="Tâch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Tâches communes</v>
          </cell>
        </row>
        <row r="2">
          <cell r="A2" t="str">
            <v>Abeille Entrée</v>
          </cell>
        </row>
        <row r="3">
          <cell r="A3" t="str">
            <v>Abeille Ruche</v>
          </cell>
        </row>
        <row r="4">
          <cell r="A4" t="str">
            <v>Ailes</v>
          </cell>
        </row>
        <row r="5">
          <cell r="A5" t="str">
            <v>Bar loges</v>
          </cell>
        </row>
        <row r="6">
          <cell r="A6" t="str">
            <v>Bar public</v>
          </cell>
        </row>
        <row r="7">
          <cell r="A7" t="str">
            <v>Déambule Gerry</v>
          </cell>
        </row>
        <row r="8">
          <cell r="A8" t="str">
            <v>Déambule Colbok</v>
          </cell>
        </row>
        <row r="9">
          <cell r="A9" t="str">
            <v>Déambule Goulus</v>
          </cell>
        </row>
        <row r="10">
          <cell r="A10" t="str">
            <v>Déambule Volkanik</v>
          </cell>
        </row>
        <row r="11">
          <cell r="A11" t="str">
            <v>Déambule Spoutnik</v>
          </cell>
        </row>
        <row r="12">
          <cell r="A12" t="str">
            <v>Déambule FBI</v>
          </cell>
        </row>
        <row r="13">
          <cell r="A13" t="str">
            <v>Tech PCGB</v>
          </cell>
        </row>
        <row r="14">
          <cell r="A14" t="str">
            <v>Tech Jacquard</v>
          </cell>
        </row>
        <row r="15">
          <cell r="A15" t="str">
            <v>Tech Phusis</v>
          </cell>
        </row>
        <row r="16">
          <cell r="A16" t="str">
            <v>Tech T'es rien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59999389629810485"/>
  </sheetPr>
  <dimension ref="A1:E64"/>
  <sheetViews>
    <sheetView tabSelected="1" zoomScale="115" zoomScaleNormal="115" workbookViewId="0">
      <pane ySplit="1" topLeftCell="A29" activePane="bottomLeft" state="frozen"/>
      <selection pane="bottomLeft" activeCell="E46" sqref="E46"/>
    </sheetView>
  </sheetViews>
  <sheetFormatPr defaultRowHeight="14.6" x14ac:dyDescent="0.4"/>
  <cols>
    <col min="1" max="2" width="14.921875" customWidth="1"/>
    <col min="3" max="3" width="11.765625" customWidth="1"/>
    <col min="4" max="5" width="9.23046875" style="2"/>
  </cols>
  <sheetData>
    <row r="1" spans="1:5" s="3" customForma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  <c r="C38" t="s">
        <v>10</v>
      </c>
      <c r="D38" s="2">
        <v>0.75</v>
      </c>
      <c r="E38" s="2">
        <v>0.8125</v>
      </c>
    </row>
    <row r="39" spans="1:5" x14ac:dyDescent="0.4">
      <c r="A39" t="str">
        <f>[1]Personnes!A39</f>
        <v>Ledru</v>
      </c>
      <c r="B39" t="str">
        <f>[1]Personnes!B39</f>
        <v>Marot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  <c r="C42" t="s">
        <v>9</v>
      </c>
      <c r="D42" s="2">
        <v>0.84375</v>
      </c>
      <c r="E42" s="2">
        <v>0.9375</v>
      </c>
    </row>
    <row r="43" spans="1:5" x14ac:dyDescent="0.4">
      <c r="A43" t="str">
        <f>[1]Personnes!A43</f>
        <v>Corbelli</v>
      </c>
      <c r="B43" t="str">
        <f>[1]Personnes!B43</f>
        <v>Maya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  <c r="C46" t="s">
        <v>5</v>
      </c>
      <c r="D46" s="2">
        <v>0.8125</v>
      </c>
      <c r="E46" s="2">
        <v>0.85416666666666663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0.77083333333333337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</sheetData>
  <sheetProtection sheet="1" objects="1" scenarios="1"/>
  <protectedRanges>
    <protectedRange sqref="C1:E1048576" name="Shifts"/>
  </protectedRanges>
  <conditionalFormatting sqref="A2:XFD65">
    <cfRule type="expression" dxfId="5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4F9546-D096-4E4D-8C52-00F41E3AF85B}">
          <x14:formula1>
            <xm:f>Taches!$A$2:$A$20</xm:f>
          </x14:formula1>
          <xm:sqref>C2:C63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C40D-93CA-4FCD-A6F8-28F80DC6C0B8}">
  <sheetPr codeName="Sheet2">
    <tabColor theme="5" tint="0.59999389629810485"/>
  </sheetPr>
  <dimension ref="A1:E65"/>
  <sheetViews>
    <sheetView zoomScale="115" zoomScaleNormal="115" workbookViewId="0">
      <pane ySplit="1" topLeftCell="A2" activePane="bottomLeft" state="frozen"/>
      <selection pane="bottomLeft" activeCell="E14" sqref="E14"/>
    </sheetView>
  </sheetViews>
  <sheetFormatPr defaultRowHeight="14.6" x14ac:dyDescent="0.4"/>
  <cols>
    <col min="1" max="2" width="14.921875" customWidth="1"/>
    <col min="3" max="3" width="11.765625" customWidth="1"/>
  </cols>
  <sheetData>
    <row r="1" spans="1:5" s="5" customForma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</row>
    <row r="39" spans="1:5" x14ac:dyDescent="0.4">
      <c r="A39" t="str">
        <f>[1]Personnes!A39</f>
        <v>Ledru</v>
      </c>
      <c r="B39" t="str">
        <f>[1]Personnes!B39</f>
        <v>Marot</v>
      </c>
      <c r="C39" t="s">
        <v>5</v>
      </c>
      <c r="D39" s="2">
        <v>0.79166666666666663</v>
      </c>
      <c r="E39" s="2">
        <v>0.875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</row>
    <row r="43" spans="1:5" x14ac:dyDescent="0.4">
      <c r="A43" t="str">
        <f>[1]Personnes!A43</f>
        <v>Corbelli</v>
      </c>
      <c r="B43" t="str">
        <f>[1]Personnes!B43</f>
        <v>Maya</v>
      </c>
      <c r="C43" t="s">
        <v>6</v>
      </c>
      <c r="D43" s="2">
        <v>0.75</v>
      </c>
      <c r="E43" s="2">
        <v>0.83333333333333337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0.79166666666666663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  <row r="65" spans="2:2" x14ac:dyDescent="0.4">
      <c r="B65" t="str">
        <f>[1]Personnes!B65</f>
        <v>Frank</v>
      </c>
    </row>
  </sheetData>
  <sheetProtection sheet="1" objects="1" scenarios="1"/>
  <protectedRanges>
    <protectedRange sqref="C1:E1048576" name="Shifts"/>
  </protectedRanges>
  <conditionalFormatting sqref="A2:XFD65">
    <cfRule type="expression" dxfId="4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8DA555-F325-4E41-88C8-C31CF97FEC4E}">
          <x14:formula1>
            <xm:f>Taches!$A$2:$A$16</xm:f>
          </x14:formula1>
          <xm:sqref>C2:C62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2804-1233-4D8D-A119-6FEA62BCFE42}">
  <sheetPr codeName="Sheet3">
    <tabColor theme="6" tint="0.59999389629810485"/>
  </sheetPr>
  <dimension ref="A1:E64"/>
  <sheetViews>
    <sheetView zoomScale="115" zoomScaleNormal="115" workbookViewId="0">
      <pane ySplit="1" topLeftCell="A2" activePane="bottomLeft" state="frozen"/>
      <selection pane="bottomLeft" activeCell="D6" sqref="D6"/>
    </sheetView>
  </sheetViews>
  <sheetFormatPr defaultRowHeight="14.6" x14ac:dyDescent="0.4"/>
  <cols>
    <col min="1" max="2" width="14.921875" customWidth="1"/>
    <col min="3" max="3" width="11.765625" customWidth="1"/>
  </cols>
  <sheetData>
    <row r="1" spans="1:5" s="6" customForma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</row>
    <row r="39" spans="1:5" x14ac:dyDescent="0.4">
      <c r="A39" t="str">
        <f>[1]Personnes!A39</f>
        <v>Ledru</v>
      </c>
      <c r="B39" t="str">
        <f>[1]Personnes!B39</f>
        <v>Marot</v>
      </c>
      <c r="C39" t="s">
        <v>5</v>
      </c>
      <c r="D39" s="2">
        <v>0.79166666666666663</v>
      </c>
      <c r="E39" s="2">
        <v>0.875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</row>
    <row r="43" spans="1:5" x14ac:dyDescent="0.4">
      <c r="A43" t="str">
        <f>[1]Personnes!A43</f>
        <v>Corbelli</v>
      </c>
      <c r="B43" t="str">
        <f>[1]Personnes!B43</f>
        <v>Maya</v>
      </c>
      <c r="C43" t="s">
        <v>6</v>
      </c>
      <c r="D43" s="2">
        <v>0.75</v>
      </c>
      <c r="E43" s="2">
        <v>0.83333333333333337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0.79166666666666663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</sheetData>
  <sheetProtection sheet="1" objects="1" scenarios="1"/>
  <protectedRanges>
    <protectedRange sqref="C1:E1048576" name="Shifts"/>
  </protectedRanges>
  <conditionalFormatting sqref="A2:XFD65">
    <cfRule type="expression" dxfId="3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52DAFD-18A2-4A13-8446-2A68C51C1123}">
          <x14:formula1>
            <xm:f>Taches!$A$2:$A$16</xm:f>
          </x14:formula1>
          <xm:sqref>C2:C62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EB70-D8FB-4222-91C3-0659002AC443}">
  <sheetPr codeName="Sheet4">
    <tabColor theme="7" tint="0.59999389629810485"/>
  </sheetPr>
  <dimension ref="A1:E64"/>
  <sheetViews>
    <sheetView zoomScale="115" zoomScaleNormal="115" workbookViewId="0">
      <pane ySplit="1" topLeftCell="A2" activePane="bottomLeft" state="frozen"/>
      <selection pane="bottomLeft" activeCell="C4" sqref="C4"/>
    </sheetView>
  </sheetViews>
  <sheetFormatPr defaultRowHeight="14.6" x14ac:dyDescent="0.4"/>
  <cols>
    <col min="1" max="2" width="14.921875" customWidth="1"/>
    <col min="3" max="3" width="11.765625" customWidth="1"/>
  </cols>
  <sheetData>
    <row r="1" spans="1:5" s="7" customForma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</row>
    <row r="39" spans="1:5" x14ac:dyDescent="0.4">
      <c r="A39" t="str">
        <f>[1]Personnes!A39</f>
        <v>Ledru</v>
      </c>
      <c r="B39" t="str">
        <f>[1]Personnes!B39</f>
        <v>Marot</v>
      </c>
      <c r="C39" t="s">
        <v>5</v>
      </c>
      <c r="D39" s="2">
        <v>0.79166666666666663</v>
      </c>
      <c r="E39" s="2">
        <v>0.875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</row>
    <row r="43" spans="1:5" x14ac:dyDescent="0.4">
      <c r="A43" t="str">
        <f>[1]Personnes!A43</f>
        <v>Corbelli</v>
      </c>
      <c r="B43" t="str">
        <f>[1]Personnes!B43</f>
        <v>Maya</v>
      </c>
      <c r="C43" t="s">
        <v>6</v>
      </c>
      <c r="D43" s="2">
        <v>0.75</v>
      </c>
      <c r="E43" s="2">
        <v>0.83333333333333337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0.79166666666666663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</sheetData>
  <sheetProtection sheet="1" objects="1" scenarios="1"/>
  <protectedRanges>
    <protectedRange sqref="C1:E1048576" name="Shifts"/>
  </protectedRanges>
  <conditionalFormatting sqref="A2:XFD65">
    <cfRule type="expression" dxfId="2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82F90-5317-4051-945D-FC1716C4ACE1}">
          <x14:formula1>
            <xm:f>Taches!$A$2:$A$16</xm:f>
          </x14:formula1>
          <xm:sqref>C2:C62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AE93-50CA-4EB1-98E3-757ADDFDDBBD}">
  <sheetPr codeName="Sheet5">
    <tabColor theme="9" tint="0.59999389629810485"/>
  </sheetPr>
  <dimension ref="A1:E64"/>
  <sheetViews>
    <sheetView zoomScale="115" zoomScaleNormal="115" workbookViewId="0">
      <pane ySplit="1" topLeftCell="A2" activePane="bottomLeft" state="frozen"/>
      <selection pane="bottomLeft" activeCell="C4" sqref="C4"/>
    </sheetView>
  </sheetViews>
  <sheetFormatPr defaultRowHeight="14.6" x14ac:dyDescent="0.4"/>
  <cols>
    <col min="1" max="2" width="14.921875" customWidth="1"/>
    <col min="3" max="3" width="11.765625" customWidth="1"/>
  </cols>
  <sheetData>
    <row r="1" spans="1:5" s="8" customForma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</row>
    <row r="39" spans="1:5" x14ac:dyDescent="0.4">
      <c r="A39" t="str">
        <f>[1]Personnes!A39</f>
        <v>Ledru</v>
      </c>
      <c r="B39" t="str">
        <f>[1]Personnes!B39</f>
        <v>Marot</v>
      </c>
      <c r="C39" t="s">
        <v>5</v>
      </c>
      <c r="D39" s="2">
        <v>0.79166666666666663</v>
      </c>
      <c r="E39" s="2">
        <v>0.875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</row>
    <row r="43" spans="1:5" x14ac:dyDescent="0.4">
      <c r="A43" t="str">
        <f>[1]Personnes!A43</f>
        <v>Corbelli</v>
      </c>
      <c r="B43" t="str">
        <f>[1]Personnes!B43</f>
        <v>Maya</v>
      </c>
      <c r="C43" t="s">
        <v>6</v>
      </c>
      <c r="D43" s="2">
        <v>0.75</v>
      </c>
      <c r="E43" s="2">
        <v>0.83333333333333337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0.79166666666666663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</sheetData>
  <sheetProtection sheet="1" objects="1" scenarios="1"/>
  <protectedRanges>
    <protectedRange sqref="C1:E1048576" name="Shifts"/>
  </protectedRanges>
  <conditionalFormatting sqref="A2:XFD65">
    <cfRule type="expression" dxfId="1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D27922-CCA9-4DA0-AEDA-6FDF09745AD2}">
          <x14:formula1>
            <xm:f>Taches!$A$2:$A$16</xm:f>
          </x14:formula1>
          <xm:sqref>C2:C62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F37E-7321-434E-8400-31D7FE0BF594}">
  <sheetPr codeName="Sheet6">
    <tabColor theme="2" tint="-0.249977111117893"/>
  </sheetPr>
  <dimension ref="A1:E64"/>
  <sheetViews>
    <sheetView zoomScale="115" zoomScaleNormal="115" workbookViewId="0">
      <pane ySplit="1" topLeftCell="A2" activePane="bottomLeft" state="frozen"/>
      <selection pane="bottomLeft" activeCell="C9" sqref="C9"/>
    </sheetView>
  </sheetViews>
  <sheetFormatPr defaultRowHeight="14.6" x14ac:dyDescent="0.4"/>
  <cols>
    <col min="1" max="2" width="14.921875" customWidth="1"/>
    <col min="3" max="3" width="11.765625" customWidth="1"/>
  </cols>
  <sheetData>
    <row r="1" spans="1:5" s="9" customFormat="1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4">
      <c r="A2" t="str">
        <f>[1]Personnes!A2</f>
        <v>Bouvet</v>
      </c>
      <c r="B2" t="str">
        <f>[1]Personnes!B2</f>
        <v>Agathe</v>
      </c>
    </row>
    <row r="3" spans="1:5" x14ac:dyDescent="0.4">
      <c r="A3" t="str">
        <f>[1]Personnes!A3</f>
        <v>Bulka</v>
      </c>
      <c r="B3" t="str">
        <f>[1]Personnes!B3</f>
        <v>Alegria Lily</v>
      </c>
    </row>
    <row r="4" spans="1:5" x14ac:dyDescent="0.4">
      <c r="A4" t="str">
        <f>[1]Personnes!A4</f>
        <v>Bastian</v>
      </c>
      <c r="B4" t="str">
        <f>[1]Personnes!B4</f>
        <v>Alexandra</v>
      </c>
    </row>
    <row r="5" spans="1:5" x14ac:dyDescent="0.4">
      <c r="A5" t="str">
        <f>[1]Personnes!A5</f>
        <v>L'Horset</v>
      </c>
      <c r="B5" t="str">
        <f>[1]Personnes!B5</f>
        <v>Alice</v>
      </c>
    </row>
    <row r="6" spans="1:5" x14ac:dyDescent="0.4">
      <c r="A6" t="str">
        <f>[1]Personnes!A6</f>
        <v>Ledru</v>
      </c>
      <c r="B6" t="str">
        <f>[1]Personnes!B6</f>
        <v>Ana-Lou</v>
      </c>
    </row>
    <row r="7" spans="1:5" x14ac:dyDescent="0.4">
      <c r="A7" t="str">
        <f>[1]Personnes!A7</f>
        <v>Pero</v>
      </c>
      <c r="B7" t="str">
        <f>[1]Personnes!B7</f>
        <v>Andy</v>
      </c>
    </row>
    <row r="8" spans="1:5" x14ac:dyDescent="0.4">
      <c r="A8" t="str">
        <f>[1]Personnes!A8</f>
        <v>Mallet</v>
      </c>
      <c r="B8" t="str">
        <f>[1]Personnes!B8</f>
        <v>Anna</v>
      </c>
    </row>
    <row r="9" spans="1:5" x14ac:dyDescent="0.4">
      <c r="A9" t="str">
        <f>[1]Personnes!A9</f>
        <v>Malric</v>
      </c>
      <c r="B9" t="str">
        <f>[1]Personnes!B9</f>
        <v>Annouk</v>
      </c>
    </row>
    <row r="10" spans="1:5" x14ac:dyDescent="0.4">
      <c r="A10" t="str">
        <f>[1]Personnes!A10</f>
        <v>Noël</v>
      </c>
      <c r="B10" t="str">
        <f>[1]Personnes!B10</f>
        <v>Antonin</v>
      </c>
    </row>
    <row r="11" spans="1:5" x14ac:dyDescent="0.4">
      <c r="A11" t="str">
        <f>[1]Personnes!A11</f>
        <v>Tessier</v>
      </c>
      <c r="B11" t="str">
        <f>[1]Personnes!B11</f>
        <v>Arsène</v>
      </c>
    </row>
    <row r="12" spans="1:5" x14ac:dyDescent="0.4">
      <c r="A12" t="str">
        <f>[1]Personnes!A12</f>
        <v>Uldry</v>
      </c>
      <c r="B12" t="str">
        <f>[1]Personnes!B12</f>
        <v>Arthur</v>
      </c>
    </row>
    <row r="13" spans="1:5" x14ac:dyDescent="0.4">
      <c r="A13" t="str">
        <f>[1]Personnes!A13</f>
        <v>Marchand</v>
      </c>
      <c r="B13" t="str">
        <f>[1]Personnes!B13</f>
        <v>Athénaé</v>
      </c>
    </row>
    <row r="14" spans="1:5" x14ac:dyDescent="0.4">
      <c r="A14" t="str">
        <f>[1]Personnes!A14</f>
        <v>Magerand</v>
      </c>
      <c r="B14" t="str">
        <f>[1]Personnes!B14</f>
        <v>Auxence</v>
      </c>
    </row>
    <row r="15" spans="1:5" x14ac:dyDescent="0.4">
      <c r="A15" t="str">
        <f>[1]Personnes!A15</f>
        <v>Baruch</v>
      </c>
      <c r="B15" t="str">
        <f>[1]Personnes!B15</f>
        <v>Ava</v>
      </c>
    </row>
    <row r="16" spans="1:5" x14ac:dyDescent="0.4">
      <c r="A16" t="str">
        <f>[1]Personnes!A16</f>
        <v>Detrain</v>
      </c>
      <c r="B16" t="str">
        <f>[1]Personnes!B16</f>
        <v>Benoît</v>
      </c>
    </row>
    <row r="17" spans="1:2" x14ac:dyDescent="0.4">
      <c r="A17" t="str">
        <f>[1]Personnes!A17</f>
        <v>Meige</v>
      </c>
      <c r="B17" t="str">
        <f>[1]Personnes!B17</f>
        <v>Corentin</v>
      </c>
    </row>
    <row r="18" spans="1:2" x14ac:dyDescent="0.4">
      <c r="A18" t="str">
        <f>[1]Personnes!A18</f>
        <v>De Filippo</v>
      </c>
      <c r="B18" t="str">
        <f>[1]Personnes!B18</f>
        <v>Emma</v>
      </c>
    </row>
    <row r="19" spans="1:2" x14ac:dyDescent="0.4">
      <c r="A19" t="str">
        <f>[1]Personnes!A19</f>
        <v>Prouvost</v>
      </c>
      <c r="B19" t="str">
        <f>[1]Personnes!B19</f>
        <v>Eugénie</v>
      </c>
    </row>
    <row r="20" spans="1:2" x14ac:dyDescent="0.4">
      <c r="A20" t="str">
        <f>[1]Personnes!A20</f>
        <v xml:space="preserve">Rakotonandrasana </v>
      </c>
      <c r="B20" t="str">
        <f>[1]Personnes!B20</f>
        <v>Iris</v>
      </c>
    </row>
    <row r="21" spans="1:2" x14ac:dyDescent="0.4">
      <c r="A21" t="str">
        <f>[1]Personnes!A21</f>
        <v>Bürgisser</v>
      </c>
      <c r="B21" t="str">
        <f>[1]Personnes!B21</f>
        <v>Jamilah</v>
      </c>
    </row>
    <row r="22" spans="1:2" x14ac:dyDescent="0.4">
      <c r="A22" t="str">
        <f>[1]Personnes!A22</f>
        <v>Ruscio</v>
      </c>
      <c r="B22" t="str">
        <f>[1]Personnes!B22</f>
        <v>Jolan</v>
      </c>
    </row>
    <row r="23" spans="1:2" x14ac:dyDescent="0.4">
      <c r="A23" t="str">
        <f>[1]Personnes!A23</f>
        <v>Wuilloud</v>
      </c>
      <c r="B23" t="str">
        <f>[1]Personnes!B23</f>
        <v xml:space="preserve">Jonas </v>
      </c>
    </row>
    <row r="24" spans="1:2" x14ac:dyDescent="0.4">
      <c r="A24" t="str">
        <f>[1]Personnes!A24</f>
        <v>Pirolley</v>
      </c>
      <c r="B24" t="str">
        <f>[1]Personnes!B24</f>
        <v>Jules</v>
      </c>
    </row>
    <row r="25" spans="1:2" x14ac:dyDescent="0.4">
      <c r="A25" t="str">
        <f>[1]Personnes!A25</f>
        <v>Chavaillaz</v>
      </c>
      <c r="B25" t="str">
        <f>[1]Personnes!B25</f>
        <v>Julie</v>
      </c>
    </row>
    <row r="26" spans="1:2" x14ac:dyDescent="0.4">
      <c r="A26" t="str">
        <f>[1]Personnes!A26</f>
        <v>Oeschger</v>
      </c>
      <c r="B26" t="str">
        <f>[1]Personnes!B26</f>
        <v>Kristel</v>
      </c>
    </row>
    <row r="27" spans="1:2" x14ac:dyDescent="0.4">
      <c r="A27" t="str">
        <f>[1]Personnes!A27</f>
        <v>Baltzinger</v>
      </c>
      <c r="B27" t="str">
        <f>[1]Personnes!B27</f>
        <v>Léa</v>
      </c>
    </row>
    <row r="28" spans="1:2" x14ac:dyDescent="0.4">
      <c r="A28" t="str">
        <f>[1]Personnes!A28</f>
        <v>Chambaz</v>
      </c>
      <c r="B28" t="str">
        <f>[1]Personnes!B28</f>
        <v>Léa</v>
      </c>
    </row>
    <row r="29" spans="1:2" x14ac:dyDescent="0.4">
      <c r="A29" t="str">
        <f>[1]Personnes!A29</f>
        <v>Jaquet</v>
      </c>
      <c r="B29" t="str">
        <f>[1]Personnes!B29</f>
        <v>Lisa</v>
      </c>
    </row>
    <row r="30" spans="1:2" x14ac:dyDescent="0.4">
      <c r="A30" t="str">
        <f>[1]Personnes!A30</f>
        <v>Magnin</v>
      </c>
      <c r="B30" t="str">
        <f>[1]Personnes!B30</f>
        <v>Lisa</v>
      </c>
    </row>
    <row r="31" spans="1:2" x14ac:dyDescent="0.4">
      <c r="A31" t="str">
        <f>[1]Personnes!A31</f>
        <v>Cardis</v>
      </c>
      <c r="B31" t="str">
        <f>[1]Personnes!B31</f>
        <v>Louis</v>
      </c>
    </row>
    <row r="32" spans="1:2" x14ac:dyDescent="0.4">
      <c r="A32" t="str">
        <f>[1]Personnes!A32</f>
        <v>Post</v>
      </c>
      <c r="B32" t="str">
        <f>[1]Personnes!B32</f>
        <v>Louis</v>
      </c>
    </row>
    <row r="33" spans="1:5" x14ac:dyDescent="0.4">
      <c r="A33" t="str">
        <f>[1]Personnes!A33</f>
        <v>Blanchard</v>
      </c>
      <c r="B33" t="str">
        <f>[1]Personnes!B33</f>
        <v>Louise</v>
      </c>
    </row>
    <row r="34" spans="1:5" x14ac:dyDescent="0.4">
      <c r="A34" t="str">
        <f>[1]Personnes!A34</f>
        <v>Chastroux</v>
      </c>
      <c r="B34" t="str">
        <f>[1]Personnes!B34</f>
        <v>Lucas</v>
      </c>
    </row>
    <row r="35" spans="1:5" x14ac:dyDescent="0.4">
      <c r="A35" t="str">
        <f>[1]Personnes!A35</f>
        <v>Meyer</v>
      </c>
      <c r="B35" t="str">
        <f>[1]Personnes!B35</f>
        <v>Lucie</v>
      </c>
    </row>
    <row r="36" spans="1:5" x14ac:dyDescent="0.4">
      <c r="A36" t="str">
        <f>[1]Personnes!A36</f>
        <v>Ménétrey</v>
      </c>
      <c r="B36" t="str">
        <f>[1]Personnes!B36</f>
        <v>Maëlan</v>
      </c>
    </row>
    <row r="37" spans="1:5" x14ac:dyDescent="0.4">
      <c r="A37" t="str">
        <f>[1]Personnes!A37</f>
        <v>Chambaz</v>
      </c>
      <c r="B37" t="str">
        <f>[1]Personnes!B37</f>
        <v>Maëlle</v>
      </c>
    </row>
    <row r="38" spans="1:5" x14ac:dyDescent="0.4">
      <c r="A38" t="str">
        <f>[1]Personnes!A38</f>
        <v>Felix</v>
      </c>
      <c r="B38" t="str">
        <f>[1]Personnes!B38</f>
        <v>Marius</v>
      </c>
    </row>
    <row r="39" spans="1:5" x14ac:dyDescent="0.4">
      <c r="A39" t="str">
        <f>[1]Personnes!A39</f>
        <v>Ledru</v>
      </c>
      <c r="B39" t="str">
        <f>[1]Personnes!B39</f>
        <v>Marot</v>
      </c>
      <c r="C39" t="s">
        <v>5</v>
      </c>
      <c r="D39" s="2">
        <v>0.79166666666666663</v>
      </c>
      <c r="E39" s="2">
        <v>0.875</v>
      </c>
    </row>
    <row r="40" spans="1:5" x14ac:dyDescent="0.4">
      <c r="A40" t="str">
        <f>[1]Personnes!A40</f>
        <v>Cuinet</v>
      </c>
      <c r="B40" t="str">
        <f>[1]Personnes!B40</f>
        <v>Mathis</v>
      </c>
    </row>
    <row r="41" spans="1:5" x14ac:dyDescent="0.4">
      <c r="A41" t="str">
        <f>[1]Personnes!A41</f>
        <v>Gavin</v>
      </c>
      <c r="B41" t="str">
        <f>[1]Personnes!B41</f>
        <v>Matteo</v>
      </c>
    </row>
    <row r="42" spans="1:5" x14ac:dyDescent="0.4">
      <c r="A42" t="str">
        <f>[1]Personnes!A42</f>
        <v>Debray</v>
      </c>
      <c r="B42" t="str">
        <f>[1]Personnes!B42</f>
        <v>Maxime</v>
      </c>
    </row>
    <row r="43" spans="1:5" x14ac:dyDescent="0.4">
      <c r="A43" t="str">
        <f>[1]Personnes!A43</f>
        <v>Corbelli</v>
      </c>
      <c r="B43" t="str">
        <f>[1]Personnes!B43</f>
        <v>Maya</v>
      </c>
      <c r="C43" t="s">
        <v>6</v>
      </c>
      <c r="D43" s="2">
        <v>0.75</v>
      </c>
      <c r="E43" s="2">
        <v>0.83333333333333337</v>
      </c>
    </row>
    <row r="44" spans="1:5" x14ac:dyDescent="0.4">
      <c r="A44" t="str">
        <f>[1]Personnes!A44</f>
        <v>Pasche</v>
      </c>
      <c r="B44" t="str">
        <f>[1]Personnes!B44</f>
        <v>Mickaël</v>
      </c>
    </row>
    <row r="45" spans="1:5" x14ac:dyDescent="0.4">
      <c r="A45" t="str">
        <f>[1]Personnes!A45</f>
        <v>Ménard</v>
      </c>
      <c r="B45" t="str">
        <f>[1]Personnes!B45</f>
        <v>Mireille</v>
      </c>
    </row>
    <row r="46" spans="1:5" x14ac:dyDescent="0.4">
      <c r="A46" t="str">
        <f>[1]Personnes!A46</f>
        <v>Fargues</v>
      </c>
      <c r="B46" t="str">
        <f>[1]Personnes!B46</f>
        <v>Morgana</v>
      </c>
    </row>
    <row r="47" spans="1:5" x14ac:dyDescent="0.4">
      <c r="A47" t="str">
        <f>[1]Personnes!A47</f>
        <v>Scyboz (Lambelet)</v>
      </c>
      <c r="B47" t="str">
        <f>[1]Personnes!B47</f>
        <v>Morgane</v>
      </c>
    </row>
    <row r="48" spans="1:5" x14ac:dyDescent="0.4">
      <c r="A48" t="str">
        <f>[1]Personnes!A48</f>
        <v>Koux</v>
      </c>
      <c r="B48" t="str">
        <f>[1]Personnes!B48</f>
        <v>Nathalia</v>
      </c>
    </row>
    <row r="49" spans="1:5" x14ac:dyDescent="0.4">
      <c r="A49" t="str">
        <f>[1]Personnes!A49</f>
        <v>Cherpillod</v>
      </c>
      <c r="B49" t="str">
        <f>[1]Personnes!B49</f>
        <v>Noah</v>
      </c>
    </row>
    <row r="50" spans="1:5" x14ac:dyDescent="0.4">
      <c r="A50" t="str">
        <f>[1]Personnes!A50</f>
        <v>Chambaz</v>
      </c>
      <c r="B50" t="str">
        <f>[1]Personnes!B50</f>
        <v>Patrick</v>
      </c>
    </row>
    <row r="51" spans="1:5" x14ac:dyDescent="0.4">
      <c r="A51" t="str">
        <f>[1]Personnes!A51</f>
        <v>Assaoui</v>
      </c>
      <c r="B51" t="str">
        <f>[1]Personnes!B51</f>
        <v>Rama</v>
      </c>
    </row>
    <row r="52" spans="1:5" x14ac:dyDescent="0.4">
      <c r="A52" t="str">
        <f>[1]Personnes!A52</f>
        <v>Lacroze</v>
      </c>
      <c r="B52" t="str">
        <f>[1]Personnes!B52</f>
        <v>Raphaël</v>
      </c>
      <c r="C52" t="s">
        <v>7</v>
      </c>
      <c r="D52" s="2">
        <v>0.70833333333333337</v>
      </c>
      <c r="E52" s="2">
        <v>0.79166666666666663</v>
      </c>
    </row>
    <row r="53" spans="1:5" x14ac:dyDescent="0.4">
      <c r="A53" t="str">
        <f>[1]Personnes!A53</f>
        <v>Neidhart</v>
      </c>
      <c r="B53" t="str">
        <f>[1]Personnes!B53</f>
        <v>Raphaëlle</v>
      </c>
    </row>
    <row r="54" spans="1:5" x14ac:dyDescent="0.4">
      <c r="A54" t="str">
        <f>[1]Personnes!A54</f>
        <v xml:space="preserve">Lanni </v>
      </c>
      <c r="B54" t="str">
        <f>[1]Personnes!B54</f>
        <v>Roxanne</v>
      </c>
    </row>
    <row r="55" spans="1:5" x14ac:dyDescent="0.4">
      <c r="A55" t="str">
        <f>[1]Personnes!A55</f>
        <v>Schiesser</v>
      </c>
      <c r="B55" t="str">
        <f>[1]Personnes!B55</f>
        <v>Sébastien</v>
      </c>
    </row>
    <row r="56" spans="1:5" x14ac:dyDescent="0.4">
      <c r="A56" t="str">
        <f>[1]Personnes!A56</f>
        <v>Lambelet</v>
      </c>
      <c r="B56" t="str">
        <f>[1]Personnes!B56</f>
        <v>Simon</v>
      </c>
    </row>
    <row r="57" spans="1:5" x14ac:dyDescent="0.4">
      <c r="A57" t="str">
        <f>[1]Personnes!A57</f>
        <v>Cyprien</v>
      </c>
      <c r="B57" t="str">
        <f>[1]Personnes!B57</f>
        <v>Theo</v>
      </c>
    </row>
    <row r="58" spans="1:5" x14ac:dyDescent="0.4">
      <c r="A58" t="str">
        <f>[1]Personnes!A58</f>
        <v>Clerici</v>
      </c>
      <c r="B58" t="str">
        <f>[1]Personnes!B58</f>
        <v>Thibault</v>
      </c>
    </row>
    <row r="59" spans="1:5" x14ac:dyDescent="0.4">
      <c r="A59" t="str">
        <f>[1]Personnes!A59</f>
        <v>Lagier</v>
      </c>
      <c r="B59" t="str">
        <f>[1]Personnes!B59</f>
        <v>Tician</v>
      </c>
    </row>
    <row r="60" spans="1:5" x14ac:dyDescent="0.4">
      <c r="A60" t="str">
        <f>[1]Personnes!A60</f>
        <v>Ménétrey</v>
      </c>
      <c r="B60" t="str">
        <f>[1]Personnes!B60</f>
        <v>Titouan</v>
      </c>
    </row>
    <row r="61" spans="1:5" x14ac:dyDescent="0.4">
      <c r="A61" t="str">
        <f>[1]Personnes!A61</f>
        <v>Clerici</v>
      </c>
      <c r="B61" t="str">
        <f>[1]Personnes!B61</f>
        <v>Tristan</v>
      </c>
    </row>
    <row r="62" spans="1:5" x14ac:dyDescent="0.4">
      <c r="A62" t="str">
        <f>[1]Personnes!A62</f>
        <v>Bally</v>
      </c>
      <c r="B62" t="str">
        <f>[1]Personnes!B62</f>
        <v>Yann</v>
      </c>
    </row>
    <row r="63" spans="1:5" x14ac:dyDescent="0.4">
      <c r="A63" t="str">
        <f>[1]Personnes!A63</f>
        <v>Ménétrey</v>
      </c>
      <c r="B63" t="str">
        <f>[1]Personnes!B63</f>
        <v>Ysatis</v>
      </c>
    </row>
    <row r="64" spans="1:5" x14ac:dyDescent="0.4">
      <c r="A64" t="str">
        <f>[1]Personnes!A64</f>
        <v>Scyboz (Lambelet)</v>
      </c>
      <c r="B64" t="str">
        <f>[1]Personnes!B64</f>
        <v>Alex</v>
      </c>
    </row>
  </sheetData>
  <sheetProtection sheet="1" objects="1" scenarios="1"/>
  <protectedRanges>
    <protectedRange sqref="C1:E1048576" name="Shifts"/>
  </protectedRanges>
  <conditionalFormatting sqref="A2:XFD65">
    <cfRule type="expression" dxfId="0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7030CC-FCBC-4B51-8F31-91C3DF89EAA0}">
          <x14:formula1>
            <xm:f>Taches!$A$2:$A$16</xm:f>
          </x14:formula1>
          <xm:sqref>C2:C62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FFCD-CA70-46B8-8E6B-FC87ED018E1A}">
  <sheetPr codeName="Sheet7"/>
  <dimension ref="A1:A20"/>
  <sheetViews>
    <sheetView workbookViewId="0">
      <selection activeCell="C19" sqref="C19"/>
    </sheetView>
  </sheetViews>
  <sheetFormatPr defaultRowHeight="14.6" x14ac:dyDescent="0.4"/>
  <cols>
    <col min="1" max="1" width="22.3828125" customWidth="1"/>
  </cols>
  <sheetData>
    <row r="1" spans="1:1" s="1" customFormat="1" x14ac:dyDescent="0.4">
      <c r="A1" s="1" t="str">
        <f>[2]Tâches!$A1</f>
        <v>Tâches communes</v>
      </c>
    </row>
    <row r="2" spans="1:1" x14ac:dyDescent="0.4">
      <c r="A2" t="str">
        <f>[2]Tâches!$A2</f>
        <v>Abeille Entrée</v>
      </c>
    </row>
    <row r="3" spans="1:1" x14ac:dyDescent="0.4">
      <c r="A3" t="str">
        <f>[2]Tâches!$A3</f>
        <v>Abeille Ruche</v>
      </c>
    </row>
    <row r="4" spans="1:1" x14ac:dyDescent="0.4">
      <c r="A4" t="str">
        <f>[2]Tâches!$A4</f>
        <v>Ailes</v>
      </c>
    </row>
    <row r="5" spans="1:1" x14ac:dyDescent="0.4">
      <c r="A5" t="str">
        <f>[2]Tâches!$A5</f>
        <v>Bar loges</v>
      </c>
    </row>
    <row r="6" spans="1:1" x14ac:dyDescent="0.4">
      <c r="A6" t="str">
        <f>[2]Tâches!$A6</f>
        <v>Bar public</v>
      </c>
    </row>
    <row r="7" spans="1:1" x14ac:dyDescent="0.4">
      <c r="A7" t="str">
        <f>[2]Tâches!$A7</f>
        <v>Déambule Gerry</v>
      </c>
    </row>
    <row r="8" spans="1:1" x14ac:dyDescent="0.4">
      <c r="A8" t="str">
        <f>[2]Tâches!$A8</f>
        <v>Déambule Colbok</v>
      </c>
    </row>
    <row r="9" spans="1:1" x14ac:dyDescent="0.4">
      <c r="A9" t="str">
        <f>[2]Tâches!$A9</f>
        <v>Déambule Goulus</v>
      </c>
    </row>
    <row r="10" spans="1:1" x14ac:dyDescent="0.4">
      <c r="A10" t="s">
        <v>8</v>
      </c>
    </row>
    <row r="11" spans="1:1" x14ac:dyDescent="0.4">
      <c r="A11" t="str">
        <f>[2]Tâches!$A10</f>
        <v>Déambule Volkanik</v>
      </c>
    </row>
    <row r="12" spans="1:1" x14ac:dyDescent="0.4">
      <c r="A12" t="str">
        <f>[2]Tâches!$A11</f>
        <v>Déambule Spoutnik</v>
      </c>
    </row>
    <row r="13" spans="1:1" x14ac:dyDescent="0.4">
      <c r="A13" t="str">
        <f>[2]Tâches!$A12</f>
        <v>Déambule FBI</v>
      </c>
    </row>
    <row r="14" spans="1:1" x14ac:dyDescent="0.4">
      <c r="A14" t="str">
        <f>[2]Tâches!$A13</f>
        <v>Tech PCGB</v>
      </c>
    </row>
    <row r="15" spans="1:1" x14ac:dyDescent="0.4">
      <c r="A15" t="str">
        <f>[2]Tâches!$A14</f>
        <v>Tech Jacquard</v>
      </c>
    </row>
    <row r="16" spans="1:1" x14ac:dyDescent="0.4">
      <c r="A16" t="str">
        <f>[2]Tâches!$A15</f>
        <v>Tech Phusis</v>
      </c>
    </row>
    <row r="17" spans="1:1" x14ac:dyDescent="0.4">
      <c r="A17" t="str">
        <f>[2]Tâches!$A16</f>
        <v>Tech T'es rien</v>
      </c>
    </row>
    <row r="18" spans="1:1" x14ac:dyDescent="0.4">
      <c r="A18">
        <f>[2]Tâches!$A17</f>
        <v>0</v>
      </c>
    </row>
    <row r="19" spans="1:1" x14ac:dyDescent="0.4">
      <c r="A19">
        <f>[2]Tâches!$A18</f>
        <v>0</v>
      </c>
    </row>
    <row r="20" spans="1:1" x14ac:dyDescent="0.4">
      <c r="A20">
        <f>[2]Tâches!$A19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511D-786B-40B0-8D12-8D440C502A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Mardi</vt:lpstr>
      <vt:lpstr>Mercredi</vt:lpstr>
      <vt:lpstr>Jeudi</vt:lpstr>
      <vt:lpstr>Vendredi</vt:lpstr>
      <vt:lpstr>Samedi</vt:lpstr>
      <vt:lpstr>Dimanche</vt:lpstr>
      <vt:lpstr>Taches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2026-06-22T14:28:14Z</dcterms:created>
  <dcterms:modified xsi:type="dcterms:W3CDTF">2026-07-16T20:54:47Z</dcterms:modified>
</cp:coreProperties>
</file>