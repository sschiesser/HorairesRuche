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schies1\_code\1.09_VScode\06_VoeuxConcerts\data\"/>
    </mc:Choice>
  </mc:AlternateContent>
  <xr:revisionPtr revIDLastSave="0" documentId="13_ncr:1_{7DF74BD0-D80F-42DF-9C72-296FD3917C48}" xr6:coauthVersionLast="47" xr6:coauthVersionMax="47" xr10:uidLastSave="{00000000-0000-0000-0000-000000000000}"/>
  <bookViews>
    <workbookView xWindow="25490" yWindow="1480" windowWidth="19420" windowHeight="11500" xr2:uid="{00000000-000D-0000-FFFF-FFFF00000000}"/>
  </bookViews>
  <sheets>
    <sheet name="Sheet1" sheetId="6" r:id="rId1"/>
    <sheet name="scene" sheetId="5" state="hidden" r:id="rId2"/>
  </sheets>
  <definedNames>
    <definedName name="_xlnm.Print_Area" localSheetId="1">scene!$A$2:$L$50</definedName>
    <definedName name="_xlnm.Print_Titles" localSheetId="1">scene!$2:$2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5" l="1"/>
  <c r="A3" i="5" l="1"/>
  <c r="M3" i="5" s="1"/>
  <c r="M4" i="5" s="1"/>
  <c r="M5" i="5" s="1"/>
  <c r="M6" i="5" s="1"/>
  <c r="M7" i="5" s="1"/>
  <c r="M8" i="5" s="1"/>
  <c r="A11" i="5" l="1"/>
  <c r="M11" i="5" s="1"/>
  <c r="M12" i="5" s="1"/>
  <c r="M13" i="5" s="1"/>
  <c r="M14" i="5" s="1"/>
  <c r="M15" i="5" s="1"/>
  <c r="M16" i="5" s="1"/>
  <c r="M17" i="5" s="1"/>
  <c r="M18" i="5" s="1"/>
  <c r="M9" i="5"/>
  <c r="A19" i="5" l="1"/>
  <c r="A27" i="5" s="1"/>
  <c r="A35" i="5" s="1"/>
  <c r="M10" i="5"/>
  <c r="M27" i="5" l="1"/>
  <c r="M28" i="5" s="1"/>
  <c r="M29" i="5" s="1"/>
  <c r="M30" i="5" s="1"/>
  <c r="M19" i="5"/>
  <c r="M20" i="5" s="1"/>
  <c r="M21" i="5" s="1"/>
  <c r="M22" i="5" s="1"/>
  <c r="M23" i="5" s="1"/>
  <c r="M35" i="5"/>
  <c r="M36" i="5" s="1"/>
  <c r="M37" i="5" s="1"/>
  <c r="A43" i="5"/>
  <c r="M43" i="5" s="1"/>
  <c r="M44" i="5" s="1"/>
  <c r="M45" i="5" s="1"/>
  <c r="M31" i="5" l="1"/>
  <c r="M46" i="5"/>
  <c r="M38" i="5"/>
  <c r="M24" i="5"/>
  <c r="M47" i="5" l="1"/>
  <c r="M39" i="5"/>
  <c r="M25" i="5"/>
  <c r="M32" i="5"/>
  <c r="M40" i="5" l="1"/>
  <c r="M26" i="5"/>
  <c r="M48" i="5"/>
  <c r="M33" i="5"/>
  <c r="M49" i="5" l="1"/>
  <c r="M41" i="5"/>
  <c r="M34" i="5"/>
  <c r="M42" i="5" l="1"/>
  <c r="M50" i="5"/>
  <c r="M51" i="5" l="1"/>
  <c r="M52" i="5" s="1"/>
  <c r="G41" i="5" l="1"/>
  <c r="H41" i="5" s="1"/>
  <c r="F24" i="5"/>
  <c r="F9" i="5"/>
  <c r="L31" i="5" l="1"/>
  <c r="L18" i="5"/>
  <c r="F22" i="5"/>
  <c r="I17" i="5"/>
  <c r="F45" i="5"/>
  <c r="B6" i="5"/>
  <c r="F10" i="5"/>
  <c r="C6" i="5"/>
  <c r="F25" i="5"/>
  <c r="B17" i="5"/>
  <c r="B14" i="5"/>
  <c r="I49" i="5"/>
  <c r="G26" i="5"/>
  <c r="H26" i="5" s="1"/>
  <c r="B21" i="5"/>
  <c r="B5" i="5"/>
  <c r="L40" i="5"/>
  <c r="J9" i="5"/>
  <c r="K9" i="5" s="1"/>
  <c r="D32" i="5"/>
  <c r="E32" i="5" s="1"/>
  <c r="D21" i="5"/>
  <c r="E21" i="5" s="1"/>
  <c r="L16" i="5"/>
  <c r="J49" i="5"/>
  <c r="K49" i="5" s="1"/>
  <c r="C24" i="5"/>
  <c r="J30" i="5"/>
  <c r="K30" i="5" s="1"/>
  <c r="G31" i="5"/>
  <c r="H31" i="5" s="1"/>
  <c r="G37" i="5"/>
  <c r="H37" i="5" s="1"/>
  <c r="D42" i="5"/>
  <c r="E42" i="5" s="1"/>
  <c r="B33" i="5"/>
  <c r="D38" i="5"/>
  <c r="E38" i="5" s="1"/>
  <c r="L24" i="5"/>
  <c r="C29" i="5"/>
  <c r="D17" i="5"/>
  <c r="E17" i="5" s="1"/>
  <c r="B25" i="5"/>
  <c r="J10" i="5"/>
  <c r="K10" i="5" s="1"/>
  <c r="F21" i="5"/>
  <c r="I24" i="5"/>
  <c r="C7" i="5"/>
  <c r="D29" i="5"/>
  <c r="E29" i="5" s="1"/>
  <c r="I42" i="5"/>
  <c r="F30" i="5"/>
  <c r="J48" i="5"/>
  <c r="K48" i="5" s="1"/>
  <c r="G6" i="5"/>
  <c r="H6" i="5" s="1"/>
  <c r="G49" i="5"/>
  <c r="H49" i="5" s="1"/>
  <c r="D6" i="5"/>
  <c r="E6" i="5" s="1"/>
  <c r="C38" i="5"/>
  <c r="B32" i="5"/>
  <c r="J33" i="5"/>
  <c r="K33" i="5" s="1"/>
  <c r="D30" i="5"/>
  <c r="E30" i="5" s="1"/>
  <c r="G48" i="5"/>
  <c r="H48" i="5" s="1"/>
  <c r="J29" i="5"/>
  <c r="K29" i="5" s="1"/>
  <c r="C42" i="5"/>
  <c r="I21" i="5"/>
  <c r="D18" i="5"/>
  <c r="E18" i="5" s="1"/>
  <c r="F34" i="5"/>
  <c r="F46" i="5"/>
  <c r="C33" i="5"/>
  <c r="D31" i="5"/>
  <c r="E31" i="5" s="1"/>
  <c r="F17" i="5"/>
  <c r="J13" i="5"/>
  <c r="K13" i="5" s="1"/>
  <c r="C17" i="5"/>
  <c r="G18" i="5"/>
  <c r="H18" i="5" s="1"/>
  <c r="I31" i="5"/>
  <c r="L29" i="5"/>
  <c r="B41" i="5"/>
  <c r="D13" i="5"/>
  <c r="E13" i="5" s="1"/>
  <c r="J14" i="5"/>
  <c r="K14" i="5" s="1"/>
  <c r="G5" i="5"/>
  <c r="H5" i="5" s="1"/>
  <c r="F26" i="5"/>
  <c r="J46" i="5"/>
  <c r="K46" i="5" s="1"/>
  <c r="G45" i="5"/>
  <c r="H45" i="5" s="1"/>
  <c r="F49" i="5"/>
  <c r="G14" i="5"/>
  <c r="H14" i="5" s="1"/>
  <c r="G38" i="5"/>
  <c r="H38" i="5" s="1"/>
  <c r="F48" i="5"/>
  <c r="C26" i="5"/>
  <c r="B26" i="5"/>
  <c r="L41" i="5"/>
  <c r="I33" i="5"/>
  <c r="I8" i="5"/>
  <c r="J40" i="5"/>
  <c r="K40" i="5" s="1"/>
  <c r="J41" i="5"/>
  <c r="K41" i="5" s="1"/>
  <c r="I18" i="5"/>
  <c r="J25" i="5"/>
  <c r="K25" i="5" s="1"/>
  <c r="B24" i="5"/>
  <c r="F7" i="5"/>
  <c r="D8" i="5"/>
  <c r="E8" i="5" s="1"/>
  <c r="J17" i="5"/>
  <c r="K17" i="5" s="1"/>
  <c r="L6" i="5"/>
  <c r="L14" i="5"/>
  <c r="J31" i="5"/>
  <c r="K31" i="5" s="1"/>
  <c r="C13" i="5"/>
  <c r="G30" i="5"/>
  <c r="H30" i="5" s="1"/>
  <c r="F5" i="5"/>
  <c r="C18" i="5"/>
  <c r="J42" i="5"/>
  <c r="K42" i="5" s="1"/>
  <c r="D49" i="5"/>
  <c r="E49" i="5" s="1"/>
  <c r="I41" i="5"/>
  <c r="I5" i="5"/>
  <c r="D14" i="5"/>
  <c r="E14" i="5" s="1"/>
  <c r="L7" i="5"/>
  <c r="D9" i="5"/>
  <c r="E9" i="5" s="1"/>
  <c r="I9" i="5"/>
  <c r="I6" i="5"/>
  <c r="I23" i="5"/>
  <c r="L42" i="5"/>
  <c r="I40" i="5"/>
  <c r="I29" i="5"/>
  <c r="J50" i="5"/>
  <c r="K50" i="5" s="1"/>
  <c r="B47" i="5"/>
  <c r="F23" i="5"/>
  <c r="L34" i="5"/>
  <c r="I10" i="5"/>
  <c r="G7" i="5"/>
  <c r="H7" i="5" s="1"/>
  <c r="B42" i="5"/>
  <c r="L10" i="5"/>
  <c r="C34" i="5"/>
  <c r="G17" i="5"/>
  <c r="H17" i="5" s="1"/>
  <c r="D41" i="5"/>
  <c r="E41" i="5" s="1"/>
  <c r="B46" i="5"/>
  <c r="G13" i="5"/>
  <c r="H13" i="5" s="1"/>
  <c r="L38" i="5"/>
  <c r="D26" i="5"/>
  <c r="E26" i="5" s="1"/>
  <c r="I22" i="5"/>
  <c r="I37" i="5"/>
  <c r="G16" i="5"/>
  <c r="H16" i="5" s="1"/>
  <c r="B7" i="5"/>
  <c r="B45" i="5"/>
  <c r="D7" i="5"/>
  <c r="E7" i="5" s="1"/>
  <c r="I30" i="5"/>
  <c r="B18" i="5"/>
  <c r="G46" i="5"/>
  <c r="H46" i="5" s="1"/>
  <c r="C5" i="5"/>
  <c r="C21" i="5"/>
  <c r="J16" i="5"/>
  <c r="K16" i="5" s="1"/>
  <c r="B49" i="5"/>
  <c r="F38" i="5"/>
  <c r="J21" i="5"/>
  <c r="K21" i="5" s="1"/>
  <c r="G10" i="5"/>
  <c r="H10" i="5" s="1"/>
  <c r="C15" i="5"/>
  <c r="G47" i="5"/>
  <c r="H47" i="5" s="1"/>
  <c r="G23" i="5"/>
  <c r="H23" i="5" s="1"/>
  <c r="I47" i="5"/>
  <c r="J37" i="5"/>
  <c r="K37" i="5" s="1"/>
  <c r="D15" i="5"/>
  <c r="E15" i="5" s="1"/>
  <c r="B30" i="5"/>
  <c r="B48" i="5"/>
  <c r="F41" i="5"/>
  <c r="F8" i="5"/>
  <c r="J8" i="5"/>
  <c r="K8" i="5" s="1"/>
  <c r="F33" i="5"/>
  <c r="C10" i="5"/>
  <c r="D34" i="5"/>
  <c r="E34" i="5" s="1"/>
  <c r="D50" i="5"/>
  <c r="E50" i="5" s="1"/>
  <c r="B16" i="5"/>
  <c r="J7" i="5"/>
  <c r="K7" i="5" s="1"/>
  <c r="I39" i="5"/>
  <c r="J24" i="5"/>
  <c r="K24" i="5" s="1"/>
  <c r="C8" i="5"/>
  <c r="C49" i="5"/>
  <c r="C50" i="5"/>
  <c r="L33" i="5"/>
  <c r="L13" i="5"/>
  <c r="I46" i="5"/>
  <c r="B31" i="5"/>
  <c r="J23" i="5"/>
  <c r="K23" i="5" s="1"/>
  <c r="L17" i="5"/>
  <c r="D45" i="5"/>
  <c r="E45" i="5" s="1"/>
  <c r="J32" i="5"/>
  <c r="K32" i="5" s="1"/>
  <c r="J47" i="5"/>
  <c r="K47" i="5" s="1"/>
  <c r="F50" i="5"/>
  <c r="J45" i="5"/>
  <c r="K45" i="5" s="1"/>
  <c r="C23" i="5"/>
  <c r="B22" i="5"/>
  <c r="I45" i="5"/>
  <c r="D23" i="5"/>
  <c r="E23" i="5" s="1"/>
  <c r="C40" i="5"/>
  <c r="I16" i="5"/>
  <c r="L49" i="5"/>
  <c r="I38" i="5"/>
  <c r="D46" i="5"/>
  <c r="E46" i="5" s="1"/>
  <c r="J15" i="5"/>
  <c r="K15" i="5" s="1"/>
  <c r="J26" i="5"/>
  <c r="K26" i="5" s="1"/>
  <c r="L46" i="5"/>
  <c r="D22" i="5"/>
  <c r="E22" i="5" s="1"/>
  <c r="G22" i="5"/>
  <c r="H22" i="5" s="1"/>
  <c r="C37" i="5"/>
  <c r="I14" i="5"/>
  <c r="B15" i="5"/>
  <c r="G25" i="5"/>
  <c r="H25" i="5" s="1"/>
  <c r="F37" i="5"/>
  <c r="F16" i="5"/>
  <c r="F13" i="5"/>
  <c r="J22" i="5"/>
  <c r="K22" i="5" s="1"/>
  <c r="F40" i="5"/>
  <c r="B37" i="5"/>
  <c r="F29" i="5"/>
  <c r="F42" i="5"/>
  <c r="G39" i="5"/>
  <c r="H39" i="5" s="1"/>
  <c r="F31" i="5"/>
  <c r="G32" i="5"/>
  <c r="H32" i="5" s="1"/>
  <c r="D48" i="5"/>
  <c r="E48" i="5" s="1"/>
  <c r="L9" i="5"/>
  <c r="G42" i="5"/>
  <c r="H42" i="5" s="1"/>
  <c r="C45" i="5"/>
  <c r="F15" i="5"/>
  <c r="L22" i="5"/>
  <c r="C32" i="5"/>
  <c r="F6" i="5"/>
  <c r="J38" i="5"/>
  <c r="K38" i="5" s="1"/>
  <c r="C47" i="5"/>
  <c r="D5" i="5"/>
  <c r="E5" i="5" s="1"/>
  <c r="B38" i="5"/>
  <c r="B23" i="5"/>
  <c r="L37" i="5"/>
  <c r="L30" i="5"/>
  <c r="J34" i="5"/>
  <c r="K34" i="5" s="1"/>
  <c r="I50" i="5"/>
  <c r="I13" i="5"/>
  <c r="L8" i="5"/>
  <c r="G15" i="5"/>
  <c r="H15" i="5" s="1"/>
  <c r="C46" i="5"/>
  <c r="D16" i="5"/>
  <c r="E16" i="5" s="1"/>
  <c r="G9" i="5"/>
  <c r="H9" i="5" s="1"/>
  <c r="C25" i="5"/>
  <c r="L21" i="5"/>
  <c r="C14" i="5"/>
  <c r="L26" i="5"/>
  <c r="B13" i="5"/>
  <c r="F47" i="5"/>
  <c r="L32" i="5"/>
  <c r="J18" i="5"/>
  <c r="K18" i="5" s="1"/>
  <c r="J5" i="5"/>
  <c r="K5" i="5" s="1"/>
  <c r="B9" i="5"/>
  <c r="B8" i="5"/>
  <c r="D33" i="5"/>
  <c r="E33" i="5" s="1"/>
  <c r="J6" i="5"/>
  <c r="K6" i="5" s="1"/>
  <c r="G40" i="5"/>
  <c r="H40" i="5" s="1"/>
  <c r="C30" i="5"/>
  <c r="G29" i="5"/>
  <c r="H29" i="5" s="1"/>
  <c r="L48" i="5"/>
  <c r="I25" i="5"/>
  <c r="C31" i="5"/>
  <c r="D24" i="5"/>
  <c r="E24" i="5" s="1"/>
  <c r="I7" i="5"/>
  <c r="L15" i="5"/>
  <c r="G50" i="5"/>
  <c r="H50" i="5" s="1"/>
  <c r="I26" i="5"/>
  <c r="L45" i="5"/>
  <c r="F14" i="5"/>
  <c r="B34" i="5"/>
  <c r="B10" i="5"/>
  <c r="G24" i="5"/>
  <c r="H24" i="5" s="1"/>
  <c r="I32" i="5"/>
  <c r="L23" i="5"/>
  <c r="J39" i="5"/>
  <c r="K39" i="5" s="1"/>
  <c r="C9" i="5"/>
  <c r="G33" i="5"/>
  <c r="H33" i="5" s="1"/>
  <c r="F39" i="5"/>
  <c r="G8" i="5"/>
  <c r="H8" i="5" s="1"/>
  <c r="G34" i="5"/>
  <c r="H34" i="5" s="1"/>
  <c r="L5" i="5"/>
  <c r="L50" i="5"/>
  <c r="I48" i="5"/>
  <c r="C22" i="5"/>
  <c r="F32" i="5"/>
  <c r="C41" i="5"/>
  <c r="D37" i="5"/>
  <c r="E37" i="5" s="1"/>
  <c r="B29" i="5"/>
  <c r="I34" i="5"/>
  <c r="D47" i="5"/>
  <c r="E47" i="5" s="1"/>
  <c r="B40" i="5"/>
  <c r="D25" i="5"/>
  <c r="E25" i="5" s="1"/>
  <c r="D40" i="5"/>
  <c r="E40" i="5" s="1"/>
  <c r="C48" i="5"/>
  <c r="G21" i="5"/>
  <c r="H21" i="5" s="1"/>
  <c r="C39" i="5"/>
  <c r="F18" i="5"/>
  <c r="L39" i="5"/>
  <c r="B50" i="5"/>
  <c r="D39" i="5"/>
  <c r="E39" i="5" s="1"/>
  <c r="I15" i="5"/>
  <c r="L47" i="5"/>
  <c r="C16" i="5"/>
  <c r="L25" i="5"/>
  <c r="D10" i="5"/>
  <c r="E10" i="5" s="1"/>
  <c r="B39" i="5"/>
</calcChain>
</file>

<file path=xl/sharedStrings.xml><?xml version="1.0" encoding="utf-8"?>
<sst xmlns="http://schemas.openxmlformats.org/spreadsheetml/2006/main" count="214" uniqueCount="130">
  <si>
    <t>GS</t>
  </si>
  <si>
    <t>Band</t>
  </si>
  <si>
    <t>SHOW TIME</t>
  </si>
  <si>
    <t>Concert</t>
  </si>
  <si>
    <t>Véga</t>
  </si>
  <si>
    <t>Belleville</t>
  </si>
  <si>
    <t>Dôme</t>
  </si>
  <si>
    <t>DO</t>
  </si>
  <si>
    <t>Club Tent</t>
  </si>
  <si>
    <t>CT</t>
  </si>
  <si>
    <t>Get In</t>
  </si>
  <si>
    <t>Soundcheck</t>
  </si>
  <si>
    <t>Linecheck</t>
  </si>
  <si>
    <t>A</t>
  </si>
  <si>
    <t>Grand Scène</t>
  </si>
  <si>
    <t>B</t>
  </si>
  <si>
    <t>C</t>
  </si>
  <si>
    <t>AR</t>
  </si>
  <si>
    <t>Les Arches</t>
  </si>
  <si>
    <t>D</t>
  </si>
  <si>
    <t>E</t>
  </si>
  <si>
    <t>DE</t>
  </si>
  <si>
    <t>Le Détour</t>
  </si>
  <si>
    <t>F</t>
  </si>
  <si>
    <t>Skald</t>
  </si>
  <si>
    <t>Asgeir</t>
  </si>
  <si>
    <t>Steve'N'Seagulls</t>
  </si>
  <si>
    <t>Hindarfjäll</t>
  </si>
  <si>
    <t>Värttinä</t>
  </si>
  <si>
    <t>Katarina Barruk</t>
  </si>
  <si>
    <t>Tarrak</t>
  </si>
  <si>
    <t>Tuuletar</t>
  </si>
  <si>
    <t>Suzane</t>
  </si>
  <si>
    <t>Lorde</t>
  </si>
  <si>
    <t>Twenty One Pilots</t>
  </si>
  <si>
    <t>Sam Sauvage</t>
  </si>
  <si>
    <t>The Last Dinner Party</t>
  </si>
  <si>
    <t>The Cure</t>
  </si>
  <si>
    <t>Disiz</t>
  </si>
  <si>
    <t>Theodora</t>
  </si>
  <si>
    <t>Gorillaz</t>
  </si>
  <si>
    <t>Yamê</t>
  </si>
  <si>
    <t>Keny Arkana</t>
  </si>
  <si>
    <t>Orelsan</t>
  </si>
  <si>
    <t>Adèle Castillon</t>
  </si>
  <si>
    <t>Vanessa Paradis</t>
  </si>
  <si>
    <t>Katy Perry</t>
  </si>
  <si>
    <t>Zaz</t>
  </si>
  <si>
    <t>Gims</t>
  </si>
  <si>
    <t>Timmy Trumpet</t>
  </si>
  <si>
    <t/>
  </si>
  <si>
    <t>Balu Brigada</t>
  </si>
  <si>
    <t>Asaf Avidan</t>
  </si>
  <si>
    <t>Perceval</t>
  </si>
  <si>
    <t>The Young Gods</t>
  </si>
  <si>
    <t>Feu! Chatterton</t>
  </si>
  <si>
    <t>Kompromat</t>
  </si>
  <si>
    <t>Miki</t>
  </si>
  <si>
    <t>Morcheeba</t>
  </si>
  <si>
    <t>Buraka Som Sistema</t>
  </si>
  <si>
    <t>Amelie Lens presents AURA</t>
  </si>
  <si>
    <t>Solann</t>
  </si>
  <si>
    <t>Björn Again</t>
  </si>
  <si>
    <t>Julien Clerc</t>
  </si>
  <si>
    <t>Mosimann</t>
  </si>
  <si>
    <t>Marguerite</t>
  </si>
  <si>
    <t>Helena</t>
  </si>
  <si>
    <t>Jok'Air</t>
  </si>
  <si>
    <t>Vald x Vladimir Cauchemar x Todiefor</t>
  </si>
  <si>
    <t>Carmina Burana</t>
  </si>
  <si>
    <t>Luiza</t>
  </si>
  <si>
    <t>Bob Sinclar</t>
  </si>
  <si>
    <t>Club Katel</t>
  </si>
  <si>
    <t>Dylan Dylan</t>
  </si>
  <si>
    <t>okgiorgio</t>
  </si>
  <si>
    <t>Upsilone</t>
  </si>
  <si>
    <t>Bound By Endogamy</t>
  </si>
  <si>
    <t>Zaatar</t>
  </si>
  <si>
    <t>Jen Cardini</t>
  </si>
  <si>
    <t>Kendal</t>
  </si>
  <si>
    <t>Braises de Velours</t>
  </si>
  <si>
    <t>Camille Doe</t>
  </si>
  <si>
    <t>riria</t>
  </si>
  <si>
    <t>Diffrent</t>
  </si>
  <si>
    <t>Estelle Zamme</t>
  </si>
  <si>
    <t>Legit Girl DJ</t>
  </si>
  <si>
    <t>DJ Schnake</t>
  </si>
  <si>
    <t>Urumi</t>
  </si>
  <si>
    <t>Marara Kelly</t>
  </si>
  <si>
    <t>Deize Tigrona &amp; DouceSoeur</t>
  </si>
  <si>
    <t>LinaPary</t>
  </si>
  <si>
    <t>Kabylie Minogue</t>
  </si>
  <si>
    <t>Esaïa</t>
  </si>
  <si>
    <t>Little Lion Sound &amp; Basta Lion</t>
  </si>
  <si>
    <t>Omega Nebula</t>
  </si>
  <si>
    <t>Roni Size</t>
  </si>
  <si>
    <t>Maustetytöt</t>
  </si>
  <si>
    <t>Witch Club Satan</t>
  </si>
  <si>
    <t>Witch Club Satan (2ème)</t>
  </si>
  <si>
    <t>Eivør</t>
  </si>
  <si>
    <t>Antti Paalanen</t>
  </si>
  <si>
    <t>Eihwar</t>
  </si>
  <si>
    <t>Trolska Polska</t>
  </si>
  <si>
    <t>Teksti-TV 666</t>
  </si>
  <si>
    <t>Hialøsa</t>
  </si>
  <si>
    <t>Trolska Polska (2ème)</t>
  </si>
  <si>
    <t>Soft Loft</t>
  </si>
  <si>
    <t>DITTER</t>
  </si>
  <si>
    <t>Sprints</t>
  </si>
  <si>
    <t>Sam Quealy</t>
  </si>
  <si>
    <t>Nonante</t>
  </si>
  <si>
    <t>Sylvie Kreusch</t>
  </si>
  <si>
    <t>Max Baby</t>
  </si>
  <si>
    <t>St Graal</t>
  </si>
  <si>
    <t>Marie Jay</t>
  </si>
  <si>
    <t>Nusantara Beat</t>
  </si>
  <si>
    <t>Joshua Idehen</t>
  </si>
  <si>
    <t>Ino Casablanca</t>
  </si>
  <si>
    <t>Roxane</t>
  </si>
  <si>
    <t>Camille Yembe</t>
  </si>
  <si>
    <t>Sueilo</t>
  </si>
  <si>
    <t>Nashwa</t>
  </si>
  <si>
    <t>ETO</t>
  </si>
  <si>
    <t>La Valentina</t>
  </si>
  <si>
    <t>LinLin</t>
  </si>
  <si>
    <t>Dope Saint Jude</t>
  </si>
  <si>
    <t>Mo'Kalamity</t>
  </si>
  <si>
    <t>Open Season</t>
  </si>
  <si>
    <t>THK</t>
  </si>
  <si>
    <t>Grande Scène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</si>
</sst>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00C]dddd\ d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24"/>
      <name val="Arial"/>
      <family val="2"/>
    </font>
    <font>
      <b/>
      <i/>
      <sz val="18"/>
      <name val="Arial"/>
      <family val="2"/>
    </font>
    <font>
      <b/>
      <i/>
      <sz val="26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b/>
      <i/>
      <sz val="20"/>
      <name val="Arial"/>
      <family val="2"/>
    </font>
    <font>
      <sz val="2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Verdana"/>
      <family val="2"/>
    </font>
    <font>
      <b/>
      <sz val="18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3" fillId="0" borderId="0" applyProtection="0"/>
    <xf numFmtId="0" fontId="3" fillId="0" borderId="0"/>
    <xf numFmtId="0" fontId="2" fillId="0" borderId="0"/>
    <xf numFmtId="0" fontId="1" fillId="0" borderId="0"/>
  </cellStyleXfs>
  <cellXfs count="40">
    <xf numFmtId="0" fontId="0" fillId="0" borderId="0" xfId="0"/>
    <xf numFmtId="0" fontId="3" fillId="2" borderId="0" xfId="1" applyFill="1" applyProtection="1">
      <protection hidden="1"/>
    </xf>
    <xf numFmtId="0" fontId="6" fillId="2" borderId="0" xfId="1" applyFont="1" applyFill="1" applyAlignment="1" applyProtection="1">
      <alignment vertical="center"/>
      <protection hidden="1"/>
    </xf>
    <xf numFmtId="14" fontId="11" fillId="2" borderId="0" xfId="1" applyNumberFormat="1" applyFont="1" applyFill="1" applyProtection="1">
      <protection hidden="1"/>
    </xf>
    <xf numFmtId="0" fontId="11" fillId="2" borderId="0" xfId="1" applyFont="1" applyFill="1" applyProtection="1">
      <protection hidden="1"/>
    </xf>
    <xf numFmtId="0" fontId="8" fillId="2" borderId="0" xfId="1" applyFont="1" applyFill="1" applyAlignment="1" applyProtection="1">
      <alignment vertical="center"/>
      <protection hidden="1"/>
    </xf>
    <xf numFmtId="14" fontId="8" fillId="2" borderId="0" xfId="1" applyNumberFormat="1" applyFont="1" applyFill="1" applyAlignment="1" applyProtection="1">
      <alignment vertical="center"/>
      <protection hidden="1"/>
    </xf>
    <xf numFmtId="0" fontId="8" fillId="2" borderId="0" xfId="1" applyFont="1" applyFill="1" applyProtection="1">
      <protection hidden="1"/>
    </xf>
    <xf numFmtId="20" fontId="8" fillId="2" borderId="0" xfId="1" applyNumberFormat="1" applyFont="1" applyFill="1" applyAlignment="1" applyProtection="1">
      <alignment horizontal="left"/>
      <protection hidden="1"/>
    </xf>
    <xf numFmtId="20" fontId="8" fillId="2" borderId="0" xfId="1" quotePrefix="1" applyNumberFormat="1" applyFont="1" applyFill="1" applyAlignment="1" applyProtection="1">
      <alignment horizontal="center"/>
      <protection hidden="1"/>
    </xf>
    <xf numFmtId="0" fontId="8" fillId="2" borderId="0" xfId="1" applyFont="1" applyFill="1" applyAlignment="1" applyProtection="1">
      <alignment horizontal="right"/>
      <protection hidden="1"/>
    </xf>
    <xf numFmtId="0" fontId="8" fillId="2" borderId="0" xfId="1" applyFont="1" applyFill="1" applyAlignment="1" applyProtection="1">
      <alignment horizontal="center"/>
      <protection hidden="1"/>
    </xf>
    <xf numFmtId="14" fontId="3" fillId="2" borderId="0" xfId="1" applyNumberFormat="1" applyFill="1" applyAlignment="1" applyProtection="1">
      <alignment horizontal="right"/>
      <protection hidden="1"/>
    </xf>
    <xf numFmtId="14" fontId="3" fillId="2" borderId="0" xfId="1" applyNumberFormat="1" applyFill="1" applyProtection="1">
      <protection hidden="1"/>
    </xf>
    <xf numFmtId="0" fontId="3" fillId="2" borderId="0" xfId="1" applyFill="1" applyAlignment="1" applyProtection="1">
      <alignment horizontal="center"/>
      <protection hidden="1"/>
    </xf>
    <xf numFmtId="0" fontId="3" fillId="2" borderId="0" xfId="1" applyFill="1" applyAlignment="1" applyProtection="1">
      <alignment horizontal="right"/>
      <protection hidden="1"/>
    </xf>
    <xf numFmtId="0" fontId="13" fillId="3" borderId="1" xfId="0" applyFont="1" applyFill="1" applyBorder="1" applyAlignment="1">
      <alignment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9" fillId="2" borderId="0" xfId="1" applyFont="1" applyFill="1" applyAlignment="1" applyProtection="1">
      <alignment horizontal="center" vertical="center"/>
      <protection hidden="1"/>
    </xf>
    <xf numFmtId="0" fontId="12" fillId="6" borderId="1" xfId="0" applyFont="1" applyFill="1" applyBorder="1" applyAlignment="1">
      <alignment horizontal="left" vertical="center" wrapText="1"/>
    </xf>
    <xf numFmtId="20" fontId="13" fillId="6" borderId="3" xfId="0" applyNumberFormat="1" applyFont="1" applyFill="1" applyBorder="1" applyAlignment="1">
      <alignment horizontal="center" vertical="center"/>
    </xf>
    <xf numFmtId="20" fontId="13" fillId="6" borderId="4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left" vertical="center" wrapText="1"/>
    </xf>
    <xf numFmtId="0" fontId="12" fillId="6" borderId="3" xfId="0" applyFont="1" applyFill="1" applyBorder="1" applyAlignment="1">
      <alignment horizontal="left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9" fillId="2" borderId="0" xfId="1" applyFont="1" applyFill="1" applyAlignment="1" applyProtection="1">
      <alignment horizontal="center" vertical="center"/>
      <protection hidden="1"/>
    </xf>
    <xf numFmtId="14" fontId="10" fillId="2" borderId="2" xfId="1" applyNumberFormat="1" applyFont="1" applyFill="1" applyBorder="1" applyAlignment="1" applyProtection="1">
      <alignment horizontal="center"/>
      <protection hidden="1"/>
    </xf>
    <xf numFmtId="0" fontId="9" fillId="2" borderId="6" xfId="1" applyFont="1" applyFill="1" applyBorder="1" applyAlignment="1" applyProtection="1">
      <alignment horizontal="center" vertical="center"/>
      <protection hidden="1"/>
    </xf>
    <xf numFmtId="0" fontId="5" fillId="4" borderId="0" xfId="1" applyFont="1" applyFill="1" applyAlignment="1" applyProtection="1">
      <alignment horizontal="center"/>
      <protection locked="0"/>
    </xf>
    <xf numFmtId="0" fontId="7" fillId="3" borderId="7" xfId="1" applyFont="1" applyFill="1" applyBorder="1" applyAlignment="1" applyProtection="1">
      <alignment horizontal="center" vertical="center"/>
      <protection hidden="1"/>
    </xf>
    <xf numFmtId="0" fontId="7" fillId="3" borderId="8" xfId="1" applyFont="1" applyFill="1" applyBorder="1" applyAlignment="1" applyProtection="1">
      <alignment horizontal="center" vertical="center"/>
      <protection hidden="1"/>
    </xf>
    <xf numFmtId="0" fontId="7" fillId="3" borderId="9" xfId="1" applyFont="1" applyFill="1" applyBorder="1" applyAlignment="1" applyProtection="1">
      <alignment horizontal="center" vertical="center"/>
      <protection hidden="1"/>
    </xf>
    <xf numFmtId="20" fontId="0" fillId="0" borderId="0" xfId="0" applyNumberFormat="1"/>
    <xf numFmtId="0" fontId="0" fillId="0" borderId="0" xfId="0" applyAlignment="1">
      <alignment horizontal="left"/>
    </xf>
    <xf numFmtId="167" fontId="13" fillId="2" borderId="3" xfId="0" applyNumberFormat="1" applyFont="1" applyFill="1" applyBorder="1" applyAlignment="1">
      <alignment horizontal="left" vertical="center"/>
    </xf>
    <xf numFmtId="0" fontId="14" fillId="5" borderId="3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20" fontId="0" fillId="7" borderId="0" xfId="0" applyNumberFormat="1" applyFill="1"/>
  </cellXfs>
  <cellStyles count="5">
    <cellStyle name="Normal" xfId="0" builtinId="0"/>
    <cellStyle name="Normal 2" xfId="2" xr:uid="{00000000-0005-0000-0000-000001000000}"/>
    <cellStyle name="Normal 3" xfId="3" xr:uid="{836AB7F1-9D1C-4E76-9882-8AAE1F9FA7E3}"/>
    <cellStyle name="Normal 4" xfId="4" xr:uid="{8765B5E2-07CC-48F0-BAF3-3AFDBB435505}"/>
    <cellStyle name="Normal_Heures par scène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5E8F0-2291-41D9-9A9A-CE313C5B899E}">
  <dimension ref="A1:C148"/>
  <sheetViews>
    <sheetView tabSelected="1" zoomScale="145" zoomScaleNormal="145" workbookViewId="0">
      <selection activeCell="A2" sqref="A2"/>
    </sheetView>
  </sheetViews>
  <sheetFormatPr defaultRowHeight="12.45" x14ac:dyDescent="0.3"/>
  <cols>
    <col min="1" max="1" width="34.15234375" style="34" customWidth="1"/>
    <col min="2" max="3" width="15.4609375" style="33" customWidth="1"/>
  </cols>
  <sheetData>
    <row r="1" spans="1:3" ht="22.75" x14ac:dyDescent="0.3">
      <c r="A1" s="36" t="s">
        <v>129</v>
      </c>
      <c r="B1" s="37"/>
      <c r="C1" s="37"/>
    </row>
    <row r="2" spans="1:3" x14ac:dyDescent="0.3">
      <c r="A2" s="16" t="s">
        <v>1</v>
      </c>
      <c r="B2" s="25" t="s">
        <v>2</v>
      </c>
      <c r="C2" s="25"/>
    </row>
    <row r="3" spans="1:3" x14ac:dyDescent="0.3">
      <c r="A3" s="35">
        <v>46224</v>
      </c>
      <c r="B3" s="17"/>
      <c r="C3" s="18"/>
    </row>
    <row r="4" spans="1:3" x14ac:dyDescent="0.3">
      <c r="A4" s="20" t="s">
        <v>32</v>
      </c>
      <c r="B4" s="21">
        <v>0.77083333333333337</v>
      </c>
      <c r="C4" s="22">
        <v>0.8125</v>
      </c>
    </row>
    <row r="5" spans="1:3" x14ac:dyDescent="0.3">
      <c r="A5" s="20" t="s">
        <v>33</v>
      </c>
      <c r="B5" s="21">
        <v>0.875</v>
      </c>
      <c r="C5" s="22">
        <v>0.92708333333333337</v>
      </c>
    </row>
    <row r="6" spans="1:3" x14ac:dyDescent="0.3">
      <c r="A6" s="20" t="s">
        <v>34</v>
      </c>
      <c r="B6" s="21">
        <v>0.99305555555555558</v>
      </c>
      <c r="C6" s="22">
        <v>1.0590277777777779</v>
      </c>
    </row>
    <row r="7" spans="1:3" x14ac:dyDescent="0.3">
      <c r="A7" s="35">
        <v>46225</v>
      </c>
      <c r="B7" s="17"/>
      <c r="C7" s="18"/>
    </row>
    <row r="8" spans="1:3" x14ac:dyDescent="0.3">
      <c r="A8" s="20" t="s">
        <v>35</v>
      </c>
      <c r="B8" s="21">
        <v>0.76041666666666663</v>
      </c>
      <c r="C8" s="22">
        <v>0.80208333333333326</v>
      </c>
    </row>
    <row r="9" spans="1:3" x14ac:dyDescent="0.3">
      <c r="A9" s="20" t="s">
        <v>36</v>
      </c>
      <c r="B9" s="21">
        <v>0.86458333333333337</v>
      </c>
      <c r="C9" s="22">
        <v>0.91319444444444453</v>
      </c>
    </row>
    <row r="10" spans="1:3" x14ac:dyDescent="0.3">
      <c r="A10" s="20" t="s">
        <v>37</v>
      </c>
      <c r="B10" s="21">
        <v>0.97569444444444442</v>
      </c>
      <c r="C10" s="22">
        <v>1.0590277777777777</v>
      </c>
    </row>
    <row r="11" spans="1:3" x14ac:dyDescent="0.3">
      <c r="A11" s="35">
        <v>46226</v>
      </c>
      <c r="B11" s="17" t="s">
        <v>50</v>
      </c>
      <c r="C11" s="18"/>
    </row>
    <row r="12" spans="1:3" x14ac:dyDescent="0.3">
      <c r="A12" s="20" t="s">
        <v>38</v>
      </c>
      <c r="B12" s="21">
        <v>0.77430555555555558</v>
      </c>
      <c r="C12" s="22">
        <v>0.82291666666666674</v>
      </c>
    </row>
    <row r="13" spans="1:3" x14ac:dyDescent="0.3">
      <c r="A13" s="20" t="s">
        <v>39</v>
      </c>
      <c r="B13" s="21">
        <v>0.88888888888888884</v>
      </c>
      <c r="C13" s="22">
        <v>0.93055555555555547</v>
      </c>
    </row>
    <row r="14" spans="1:3" x14ac:dyDescent="0.3">
      <c r="A14" s="20" t="s">
        <v>40</v>
      </c>
      <c r="B14" s="21">
        <v>0.98611111111111116</v>
      </c>
      <c r="C14" s="22">
        <v>1.0486111111111112</v>
      </c>
    </row>
    <row r="15" spans="1:3" x14ac:dyDescent="0.3">
      <c r="A15" s="35">
        <v>46227</v>
      </c>
      <c r="B15" s="17" t="s">
        <v>50</v>
      </c>
      <c r="C15" s="18"/>
    </row>
    <row r="16" spans="1:3" x14ac:dyDescent="0.3">
      <c r="A16" s="23" t="s">
        <v>41</v>
      </c>
      <c r="B16" s="21">
        <v>0.77430555555555558</v>
      </c>
      <c r="C16" s="22">
        <v>0.81597222222222221</v>
      </c>
    </row>
    <row r="17" spans="1:3" x14ac:dyDescent="0.3">
      <c r="A17" s="24" t="s">
        <v>42</v>
      </c>
      <c r="B17" s="21">
        <v>0.875</v>
      </c>
      <c r="C17" s="22">
        <v>0.92708333333333337</v>
      </c>
    </row>
    <row r="18" spans="1:3" x14ac:dyDescent="0.3">
      <c r="A18" s="24" t="s">
        <v>43</v>
      </c>
      <c r="B18" s="21">
        <v>0.98611111111111116</v>
      </c>
      <c r="C18" s="22">
        <v>1.0486111111111112</v>
      </c>
    </row>
    <row r="19" spans="1:3" x14ac:dyDescent="0.3">
      <c r="A19" s="35">
        <v>46228</v>
      </c>
      <c r="B19" s="17" t="s">
        <v>50</v>
      </c>
      <c r="C19" s="18"/>
    </row>
    <row r="20" spans="1:3" x14ac:dyDescent="0.3">
      <c r="A20" s="24" t="s">
        <v>44</v>
      </c>
      <c r="B20" s="21">
        <v>0.77083333333333337</v>
      </c>
      <c r="C20" s="22">
        <v>0.8125</v>
      </c>
    </row>
    <row r="21" spans="1:3" x14ac:dyDescent="0.3">
      <c r="A21" s="24" t="s">
        <v>45</v>
      </c>
      <c r="B21" s="21">
        <v>0.88194444444444442</v>
      </c>
      <c r="C21" s="22">
        <v>0.93402777777777779</v>
      </c>
    </row>
    <row r="22" spans="1:3" x14ac:dyDescent="0.3">
      <c r="A22" s="24" t="s">
        <v>46</v>
      </c>
      <c r="B22" s="21">
        <v>0.98611111111111116</v>
      </c>
      <c r="C22" s="22">
        <v>1.0486111111111112</v>
      </c>
    </row>
    <row r="23" spans="1:3" x14ac:dyDescent="0.3">
      <c r="A23" s="35">
        <v>46229</v>
      </c>
      <c r="B23" s="17" t="s">
        <v>50</v>
      </c>
      <c r="C23" s="18"/>
    </row>
    <row r="24" spans="1:3" x14ac:dyDescent="0.3">
      <c r="A24" s="24" t="s">
        <v>47</v>
      </c>
      <c r="B24" s="21">
        <v>0.75</v>
      </c>
      <c r="C24" s="22">
        <v>0.80208333333333337</v>
      </c>
    </row>
    <row r="25" spans="1:3" x14ac:dyDescent="0.3">
      <c r="A25" s="24" t="s">
        <v>48</v>
      </c>
      <c r="B25" s="21">
        <v>0.85416666666666663</v>
      </c>
      <c r="C25" s="22">
        <v>0.90277777777777779</v>
      </c>
    </row>
    <row r="26" spans="1:3" x14ac:dyDescent="0.3">
      <c r="A26" s="24" t="s">
        <v>49</v>
      </c>
      <c r="B26" s="21">
        <v>0.98611111111111116</v>
      </c>
      <c r="C26" s="22">
        <v>1.0381944444444444</v>
      </c>
    </row>
    <row r="27" spans="1:3" ht="6" customHeight="1" x14ac:dyDescent="0.3">
      <c r="A27" s="38"/>
      <c r="B27" s="39"/>
      <c r="C27" s="39"/>
    </row>
    <row r="28" spans="1:3" ht="22.75" x14ac:dyDescent="0.3">
      <c r="A28" s="36" t="s">
        <v>4</v>
      </c>
      <c r="B28" s="37"/>
      <c r="C28" s="37"/>
    </row>
    <row r="29" spans="1:3" x14ac:dyDescent="0.3">
      <c r="A29" s="16" t="s">
        <v>1</v>
      </c>
      <c r="B29" s="25" t="s">
        <v>2</v>
      </c>
      <c r="C29" s="25"/>
    </row>
    <row r="30" spans="1:3" x14ac:dyDescent="0.3">
      <c r="A30" s="35">
        <v>46224</v>
      </c>
      <c r="B30" s="17"/>
      <c r="C30" s="18"/>
    </row>
    <row r="31" spans="1:3" x14ac:dyDescent="0.3">
      <c r="A31" s="20" t="s">
        <v>51</v>
      </c>
      <c r="B31" s="21">
        <v>0.82291666666666663</v>
      </c>
      <c r="C31" s="22">
        <v>0.86458333333333326</v>
      </c>
    </row>
    <row r="32" spans="1:3" x14ac:dyDescent="0.3">
      <c r="A32" s="20" t="s">
        <v>52</v>
      </c>
      <c r="B32" s="21">
        <v>0.93402777777777779</v>
      </c>
      <c r="C32" s="22">
        <v>0.98611111111111116</v>
      </c>
    </row>
    <row r="33" spans="1:3" x14ac:dyDescent="0.3">
      <c r="A33" s="20" t="s">
        <v>53</v>
      </c>
      <c r="B33" s="21">
        <v>1.0625</v>
      </c>
      <c r="C33" s="22">
        <v>1.1041666666666667</v>
      </c>
    </row>
    <row r="34" spans="1:3" x14ac:dyDescent="0.3">
      <c r="A34" s="35">
        <v>46225</v>
      </c>
      <c r="B34" s="17" t="s">
        <v>50</v>
      </c>
      <c r="C34" s="18"/>
    </row>
    <row r="35" spans="1:3" x14ac:dyDescent="0.3">
      <c r="A35" s="20" t="s">
        <v>54</v>
      </c>
      <c r="B35" s="21">
        <v>0.80902777777777779</v>
      </c>
      <c r="C35" s="22">
        <v>0.85763888888888895</v>
      </c>
    </row>
    <row r="36" spans="1:3" x14ac:dyDescent="0.3">
      <c r="A36" s="20" t="s">
        <v>55</v>
      </c>
      <c r="B36" s="21">
        <v>0.92013888888888884</v>
      </c>
      <c r="C36" s="22">
        <v>0.96875</v>
      </c>
    </row>
    <row r="37" spans="1:3" x14ac:dyDescent="0.3">
      <c r="A37" s="20" t="s">
        <v>56</v>
      </c>
      <c r="B37" s="21">
        <v>1.0625</v>
      </c>
      <c r="C37" s="22">
        <v>1.1041666666666667</v>
      </c>
    </row>
    <row r="38" spans="1:3" x14ac:dyDescent="0.3">
      <c r="A38" s="35">
        <v>46226</v>
      </c>
      <c r="B38" s="17" t="s">
        <v>50</v>
      </c>
      <c r="C38" s="18"/>
    </row>
    <row r="39" spans="1:3" x14ac:dyDescent="0.3">
      <c r="A39" s="20" t="s">
        <v>57</v>
      </c>
      <c r="B39" s="21">
        <v>0.72916666666666663</v>
      </c>
      <c r="C39" s="22">
        <v>0.76736111111111105</v>
      </c>
    </row>
    <row r="40" spans="1:3" x14ac:dyDescent="0.3">
      <c r="A40" s="20" t="s">
        <v>58</v>
      </c>
      <c r="B40" s="21">
        <v>0.82986111111111116</v>
      </c>
      <c r="C40" s="22">
        <v>0.88194444444444453</v>
      </c>
    </row>
    <row r="41" spans="1:3" x14ac:dyDescent="0.3">
      <c r="A41" s="20" t="s">
        <v>59</v>
      </c>
      <c r="B41" s="21">
        <v>0.9375</v>
      </c>
      <c r="C41" s="22">
        <v>0.97916666666666663</v>
      </c>
    </row>
    <row r="42" spans="1:3" x14ac:dyDescent="0.3">
      <c r="A42" s="20" t="s">
        <v>60</v>
      </c>
      <c r="B42" s="21">
        <v>1.0520833333333333</v>
      </c>
      <c r="C42" s="22">
        <v>1.1041666666666665</v>
      </c>
    </row>
    <row r="43" spans="1:3" x14ac:dyDescent="0.3">
      <c r="A43" s="35">
        <v>46227</v>
      </c>
      <c r="B43" s="17" t="s">
        <v>50</v>
      </c>
      <c r="C43" s="18"/>
    </row>
    <row r="44" spans="1:3" x14ac:dyDescent="0.3">
      <c r="A44" s="20" t="s">
        <v>61</v>
      </c>
      <c r="B44" s="21">
        <v>0.72916666666666663</v>
      </c>
      <c r="C44" s="22">
        <v>0.77083333333333326</v>
      </c>
    </row>
    <row r="45" spans="1:3" x14ac:dyDescent="0.3">
      <c r="A45" s="20" t="s">
        <v>62</v>
      </c>
      <c r="B45" s="21">
        <v>0.82291666666666663</v>
      </c>
      <c r="C45" s="22">
        <v>0.87152777777777779</v>
      </c>
    </row>
    <row r="46" spans="1:3" x14ac:dyDescent="0.3">
      <c r="A46" s="20" t="s">
        <v>63</v>
      </c>
      <c r="B46" s="21">
        <v>0.93055555555555558</v>
      </c>
      <c r="C46" s="22">
        <v>0.98263888888888895</v>
      </c>
    </row>
    <row r="47" spans="1:3" x14ac:dyDescent="0.3">
      <c r="A47" s="20" t="s">
        <v>64</v>
      </c>
      <c r="B47" s="21">
        <v>1.0555555555555556</v>
      </c>
      <c r="C47" s="22">
        <v>1.1076388888888888</v>
      </c>
    </row>
    <row r="48" spans="1:3" x14ac:dyDescent="0.3">
      <c r="A48" s="35">
        <v>46228</v>
      </c>
      <c r="B48" s="17" t="s">
        <v>50</v>
      </c>
      <c r="C48" s="18"/>
    </row>
    <row r="49" spans="1:3" x14ac:dyDescent="0.3">
      <c r="A49" s="20" t="s">
        <v>65</v>
      </c>
      <c r="B49" s="21">
        <v>0.72916666666666663</v>
      </c>
      <c r="C49" s="22">
        <v>0.76388888888888884</v>
      </c>
    </row>
    <row r="50" spans="1:3" x14ac:dyDescent="0.3">
      <c r="A50" s="20" t="s">
        <v>66</v>
      </c>
      <c r="B50" s="21">
        <v>0.82291666666666663</v>
      </c>
      <c r="C50" s="22">
        <v>0.87152777777777779</v>
      </c>
    </row>
    <row r="51" spans="1:3" x14ac:dyDescent="0.3">
      <c r="A51" s="20" t="s">
        <v>67</v>
      </c>
      <c r="B51" s="21">
        <v>0.9375</v>
      </c>
      <c r="C51" s="22">
        <v>0.97916666666666663</v>
      </c>
    </row>
    <row r="52" spans="1:3" x14ac:dyDescent="0.3">
      <c r="A52" s="20" t="s">
        <v>68</v>
      </c>
      <c r="B52" s="21">
        <v>1.0520833333333333</v>
      </c>
      <c r="C52" s="22">
        <v>1.1041666666666665</v>
      </c>
    </row>
    <row r="53" spans="1:3" x14ac:dyDescent="0.3">
      <c r="A53" s="35">
        <v>46229</v>
      </c>
      <c r="B53" s="17" t="s">
        <v>50</v>
      </c>
      <c r="C53" s="18"/>
    </row>
    <row r="54" spans="1:3" x14ac:dyDescent="0.3">
      <c r="A54" s="20" t="s">
        <v>69</v>
      </c>
      <c r="B54" s="21">
        <v>0.70486111111111116</v>
      </c>
      <c r="C54" s="22">
        <v>0.74652777777777779</v>
      </c>
    </row>
    <row r="55" spans="1:3" x14ac:dyDescent="0.3">
      <c r="A55" s="20" t="s">
        <v>70</v>
      </c>
      <c r="B55" s="21">
        <v>0.80555555555555558</v>
      </c>
      <c r="C55" s="22">
        <v>0.84722222222222221</v>
      </c>
    </row>
    <row r="56" spans="1:3" x14ac:dyDescent="0.3">
      <c r="A56" s="20" t="s">
        <v>71</v>
      </c>
      <c r="B56" s="21">
        <v>0.90625</v>
      </c>
      <c r="C56" s="22">
        <v>0.95833333333333337</v>
      </c>
    </row>
    <row r="57" spans="1:3" ht="6" customHeight="1" x14ac:dyDescent="0.3">
      <c r="A57" s="38"/>
      <c r="B57" s="39"/>
      <c r="C57" s="39"/>
    </row>
    <row r="58" spans="1:3" ht="22.75" x14ac:dyDescent="0.3">
      <c r="A58" s="36" t="s">
        <v>5</v>
      </c>
      <c r="B58" s="37"/>
      <c r="C58" s="37"/>
    </row>
    <row r="59" spans="1:3" x14ac:dyDescent="0.3">
      <c r="A59" s="16" t="s">
        <v>1</v>
      </c>
      <c r="B59" s="25" t="s">
        <v>2</v>
      </c>
      <c r="C59" s="25"/>
    </row>
    <row r="60" spans="1:3" x14ac:dyDescent="0.3">
      <c r="A60" s="35">
        <v>46224</v>
      </c>
      <c r="B60" s="17"/>
      <c r="C60" s="18"/>
    </row>
    <row r="61" spans="1:3" x14ac:dyDescent="0.3">
      <c r="A61" s="20" t="s">
        <v>72</v>
      </c>
      <c r="B61" s="21">
        <v>0.71875</v>
      </c>
      <c r="C61" s="22">
        <v>0.77083333333333337</v>
      </c>
    </row>
    <row r="62" spans="1:3" x14ac:dyDescent="0.3">
      <c r="A62" s="20" t="s">
        <v>73</v>
      </c>
      <c r="B62" s="21">
        <v>0.8125</v>
      </c>
      <c r="C62" s="22">
        <v>0.87152777777777779</v>
      </c>
    </row>
    <row r="63" spans="1:3" x14ac:dyDescent="0.3">
      <c r="A63" s="20" t="s">
        <v>74</v>
      </c>
      <c r="B63" s="21">
        <v>0.92708333333333337</v>
      </c>
      <c r="C63" s="22">
        <v>0.98958333333333337</v>
      </c>
    </row>
    <row r="64" spans="1:3" x14ac:dyDescent="0.3">
      <c r="A64" s="20" t="s">
        <v>75</v>
      </c>
      <c r="B64" s="21">
        <v>1.0590277777777777</v>
      </c>
      <c r="C64" s="22">
        <v>1.1041666666666665</v>
      </c>
    </row>
    <row r="65" spans="1:3" x14ac:dyDescent="0.3">
      <c r="A65" s="35">
        <v>46225</v>
      </c>
      <c r="B65" s="17" t="s">
        <v>50</v>
      </c>
      <c r="C65" s="18"/>
    </row>
    <row r="66" spans="1:3" x14ac:dyDescent="0.3">
      <c r="A66" s="20" t="s">
        <v>76</v>
      </c>
      <c r="B66" s="21">
        <v>0.71875</v>
      </c>
      <c r="C66" s="22">
        <v>0.76041666666666663</v>
      </c>
    </row>
    <row r="67" spans="1:3" x14ac:dyDescent="0.3">
      <c r="A67" s="20" t="s">
        <v>77</v>
      </c>
      <c r="B67" s="21">
        <v>0.80208333333333337</v>
      </c>
      <c r="C67" s="22">
        <v>0.86458333333333337</v>
      </c>
    </row>
    <row r="68" spans="1:3" x14ac:dyDescent="0.3">
      <c r="A68" s="20" t="s">
        <v>78</v>
      </c>
      <c r="B68" s="21">
        <v>0.91319444444444442</v>
      </c>
      <c r="C68" s="22">
        <v>0.97222222222222221</v>
      </c>
    </row>
    <row r="69" spans="1:3" x14ac:dyDescent="0.3">
      <c r="A69" s="20" t="s">
        <v>79</v>
      </c>
      <c r="B69" s="21">
        <v>1.0590277777777777</v>
      </c>
      <c r="C69" s="22">
        <v>1.1041666666666665</v>
      </c>
    </row>
    <row r="70" spans="1:3" x14ac:dyDescent="0.3">
      <c r="A70" s="35">
        <v>46226</v>
      </c>
      <c r="B70" s="17" t="s">
        <v>50</v>
      </c>
      <c r="C70" s="18"/>
    </row>
    <row r="71" spans="1:3" x14ac:dyDescent="0.3">
      <c r="A71" s="20" t="s">
        <v>80</v>
      </c>
      <c r="B71" s="21">
        <v>0.72222222222222221</v>
      </c>
      <c r="C71" s="22">
        <v>0.77430555555555558</v>
      </c>
    </row>
    <row r="72" spans="1:3" x14ac:dyDescent="0.3">
      <c r="A72" s="20" t="s">
        <v>81</v>
      </c>
      <c r="B72" s="21">
        <v>0.82291666666666663</v>
      </c>
      <c r="C72" s="22">
        <v>0.88541666666666663</v>
      </c>
    </row>
    <row r="73" spans="1:3" x14ac:dyDescent="0.3">
      <c r="A73" s="20" t="s">
        <v>82</v>
      </c>
      <c r="B73" s="21">
        <v>0.93055555555555558</v>
      </c>
      <c r="C73" s="22">
        <v>0.98263888888888895</v>
      </c>
    </row>
    <row r="74" spans="1:3" x14ac:dyDescent="0.3">
      <c r="A74" s="20" t="s">
        <v>83</v>
      </c>
      <c r="B74" s="21">
        <v>1.0486111111111112</v>
      </c>
      <c r="C74" s="22">
        <v>1.1041666666666667</v>
      </c>
    </row>
    <row r="75" spans="1:3" x14ac:dyDescent="0.3">
      <c r="A75" s="35">
        <v>46227</v>
      </c>
      <c r="B75" s="17" t="s">
        <v>50</v>
      </c>
      <c r="C75" s="18"/>
    </row>
    <row r="76" spans="1:3" x14ac:dyDescent="0.3">
      <c r="A76" s="20" t="s">
        <v>84</v>
      </c>
      <c r="B76" s="21">
        <v>0.72916666666666663</v>
      </c>
      <c r="C76" s="22">
        <v>0.77430555555555547</v>
      </c>
    </row>
    <row r="77" spans="1:3" x14ac:dyDescent="0.3">
      <c r="A77" s="20" t="s">
        <v>85</v>
      </c>
      <c r="B77" s="21">
        <v>0.82291666666666663</v>
      </c>
      <c r="C77" s="22">
        <v>0.875</v>
      </c>
    </row>
    <row r="78" spans="1:3" x14ac:dyDescent="0.3">
      <c r="A78" s="20" t="s">
        <v>86</v>
      </c>
      <c r="B78" s="21">
        <v>0.92708333333333337</v>
      </c>
      <c r="C78" s="22">
        <v>0.98263888888888895</v>
      </c>
    </row>
    <row r="79" spans="1:3" x14ac:dyDescent="0.3">
      <c r="A79" s="20" t="s">
        <v>87</v>
      </c>
      <c r="B79" s="21">
        <v>1.0520833333333333</v>
      </c>
      <c r="C79" s="22">
        <v>1.1041666666666665</v>
      </c>
    </row>
    <row r="80" spans="1:3" x14ac:dyDescent="0.3">
      <c r="A80" s="35">
        <v>46228</v>
      </c>
      <c r="B80" s="17" t="s">
        <v>50</v>
      </c>
      <c r="C80" s="18"/>
    </row>
    <row r="81" spans="1:3" x14ac:dyDescent="0.3">
      <c r="A81" s="20" t="s">
        <v>88</v>
      </c>
      <c r="B81" s="21">
        <v>0.71875</v>
      </c>
      <c r="C81" s="22">
        <v>0.77083333333333337</v>
      </c>
    </row>
    <row r="82" spans="1:3" x14ac:dyDescent="0.3">
      <c r="A82" s="20" t="s">
        <v>89</v>
      </c>
      <c r="B82" s="21">
        <v>0.81597222222222221</v>
      </c>
      <c r="C82" s="22">
        <v>0.87847222222222221</v>
      </c>
    </row>
    <row r="83" spans="1:3" x14ac:dyDescent="0.3">
      <c r="A83" s="20" t="s">
        <v>90</v>
      </c>
      <c r="B83" s="21">
        <v>0.93402777777777779</v>
      </c>
      <c r="C83" s="22">
        <v>0.98263888888888895</v>
      </c>
    </row>
    <row r="84" spans="1:3" x14ac:dyDescent="0.3">
      <c r="A84" s="20" t="s">
        <v>91</v>
      </c>
      <c r="B84" s="21">
        <v>1.0486111111111112</v>
      </c>
      <c r="C84" s="22">
        <v>1.1041666666666667</v>
      </c>
    </row>
    <row r="85" spans="1:3" x14ac:dyDescent="0.3">
      <c r="A85" s="35">
        <v>46229</v>
      </c>
      <c r="B85" s="17" t="s">
        <v>50</v>
      </c>
      <c r="C85" s="18"/>
    </row>
    <row r="86" spans="1:3" x14ac:dyDescent="0.3">
      <c r="A86" s="20" t="s">
        <v>92</v>
      </c>
      <c r="B86" s="21">
        <v>0.66319444444444442</v>
      </c>
      <c r="C86" s="22">
        <v>0.70486111111111105</v>
      </c>
    </row>
    <row r="87" spans="1:3" x14ac:dyDescent="0.3">
      <c r="A87" s="20" t="s">
        <v>93</v>
      </c>
      <c r="B87" s="21">
        <v>0.80208333333333337</v>
      </c>
      <c r="C87" s="22">
        <v>0.85416666666666674</v>
      </c>
    </row>
    <row r="88" spans="1:3" x14ac:dyDescent="0.3">
      <c r="A88" s="20" t="s">
        <v>94</v>
      </c>
      <c r="B88" s="21">
        <v>0.91666666666666663</v>
      </c>
      <c r="C88" s="22">
        <v>0.95833333333333326</v>
      </c>
    </row>
    <row r="89" spans="1:3" x14ac:dyDescent="0.3">
      <c r="A89" s="20" t="s">
        <v>95</v>
      </c>
      <c r="B89" s="21">
        <v>1.0381944444444444</v>
      </c>
      <c r="C89" s="22">
        <v>1.1006944444444444</v>
      </c>
    </row>
    <row r="90" spans="1:3" ht="6" customHeight="1" x14ac:dyDescent="0.3">
      <c r="A90" s="38"/>
      <c r="B90" s="39"/>
      <c r="C90" s="39"/>
    </row>
    <row r="91" spans="1:3" ht="22.75" x14ac:dyDescent="0.3">
      <c r="A91" s="36" t="s">
        <v>6</v>
      </c>
      <c r="B91" s="37"/>
      <c r="C91" s="37"/>
    </row>
    <row r="92" spans="1:3" x14ac:dyDescent="0.3">
      <c r="A92" s="16" t="s">
        <v>1</v>
      </c>
      <c r="B92" s="25" t="s">
        <v>2</v>
      </c>
      <c r="C92" s="25"/>
    </row>
    <row r="93" spans="1:3" x14ac:dyDescent="0.3">
      <c r="A93" s="35">
        <v>46224</v>
      </c>
      <c r="B93" s="17"/>
      <c r="C93" s="18"/>
    </row>
    <row r="94" spans="1:3" x14ac:dyDescent="0.3">
      <c r="A94" s="20" t="s">
        <v>96</v>
      </c>
      <c r="B94" s="21">
        <v>0.71875</v>
      </c>
      <c r="C94" s="22">
        <v>0.77083333333333337</v>
      </c>
    </row>
    <row r="95" spans="1:3" x14ac:dyDescent="0.3">
      <c r="A95" s="20" t="s">
        <v>24</v>
      </c>
      <c r="B95" s="21">
        <v>0.8125</v>
      </c>
      <c r="C95" s="22">
        <v>0.86458333333333337</v>
      </c>
    </row>
    <row r="96" spans="1:3" x14ac:dyDescent="0.3">
      <c r="A96" s="20" t="s">
        <v>97</v>
      </c>
      <c r="B96" s="21">
        <v>0.9375</v>
      </c>
      <c r="C96" s="22">
        <v>0.97916666666666663</v>
      </c>
    </row>
    <row r="97" spans="1:3" x14ac:dyDescent="0.3">
      <c r="A97" s="35">
        <v>46225</v>
      </c>
      <c r="B97" s="17" t="s">
        <v>50</v>
      </c>
      <c r="C97" s="18"/>
    </row>
    <row r="98" spans="1:3" x14ac:dyDescent="0.3">
      <c r="A98" s="20" t="s">
        <v>98</v>
      </c>
      <c r="B98" s="21">
        <v>0.71875</v>
      </c>
      <c r="C98" s="22">
        <v>0.76041666666666663</v>
      </c>
    </row>
    <row r="99" spans="1:3" x14ac:dyDescent="0.3">
      <c r="A99" s="20" t="s">
        <v>25</v>
      </c>
      <c r="B99" s="21">
        <v>0.80555555555555558</v>
      </c>
      <c r="C99" s="22">
        <v>0.85763888888888895</v>
      </c>
    </row>
    <row r="100" spans="1:3" x14ac:dyDescent="0.3">
      <c r="A100" s="20" t="s">
        <v>99</v>
      </c>
      <c r="B100" s="21">
        <v>0.91666666666666663</v>
      </c>
      <c r="C100" s="22">
        <v>0.96875</v>
      </c>
    </row>
    <row r="101" spans="1:3" x14ac:dyDescent="0.3">
      <c r="A101" s="35">
        <v>46226</v>
      </c>
      <c r="B101" s="17" t="s">
        <v>50</v>
      </c>
      <c r="C101" s="18"/>
    </row>
    <row r="102" spans="1:3" x14ac:dyDescent="0.3">
      <c r="A102" s="20" t="s">
        <v>100</v>
      </c>
      <c r="B102" s="21">
        <v>0.71875</v>
      </c>
      <c r="C102" s="22">
        <v>0.77083333333333337</v>
      </c>
    </row>
    <row r="103" spans="1:3" x14ac:dyDescent="0.3">
      <c r="A103" s="20" t="s">
        <v>27</v>
      </c>
      <c r="B103" s="21">
        <v>0.82291666666666663</v>
      </c>
      <c r="C103" s="22">
        <v>0.875</v>
      </c>
    </row>
    <row r="104" spans="1:3" x14ac:dyDescent="0.3">
      <c r="A104" s="20" t="s">
        <v>26</v>
      </c>
      <c r="B104" s="21">
        <v>0.93402777777777779</v>
      </c>
      <c r="C104" s="22">
        <v>0.98611111111111116</v>
      </c>
    </row>
    <row r="105" spans="1:3" x14ac:dyDescent="0.3">
      <c r="A105" s="35">
        <v>46227</v>
      </c>
      <c r="B105" s="17" t="s">
        <v>50</v>
      </c>
      <c r="C105" s="18"/>
    </row>
    <row r="106" spans="1:3" x14ac:dyDescent="0.3">
      <c r="A106" s="20" t="s">
        <v>28</v>
      </c>
      <c r="B106" s="21">
        <v>0.71875</v>
      </c>
      <c r="C106" s="22">
        <v>0.77083333333333337</v>
      </c>
    </row>
    <row r="107" spans="1:3" x14ac:dyDescent="0.3">
      <c r="A107" s="20" t="s">
        <v>29</v>
      </c>
      <c r="B107" s="21">
        <v>0.81597222222222221</v>
      </c>
      <c r="C107" s="22">
        <v>0.86805555555555558</v>
      </c>
    </row>
    <row r="108" spans="1:3" x14ac:dyDescent="0.3">
      <c r="A108" s="20" t="s">
        <v>101</v>
      </c>
      <c r="B108" s="21">
        <v>0.93055555555555558</v>
      </c>
      <c r="C108" s="22">
        <v>0.98263888888888895</v>
      </c>
    </row>
    <row r="109" spans="1:3" x14ac:dyDescent="0.3">
      <c r="A109" s="35">
        <v>46228</v>
      </c>
      <c r="B109" s="17" t="s">
        <v>50</v>
      </c>
      <c r="C109" s="18"/>
    </row>
    <row r="110" spans="1:3" x14ac:dyDescent="0.3">
      <c r="A110" s="20" t="s">
        <v>102</v>
      </c>
      <c r="B110" s="21">
        <v>0.71875</v>
      </c>
      <c r="C110" s="22">
        <v>0.77083333333333337</v>
      </c>
    </row>
    <row r="111" spans="1:3" x14ac:dyDescent="0.3">
      <c r="A111" s="20" t="s">
        <v>30</v>
      </c>
      <c r="B111" s="21">
        <v>0.81944444444444442</v>
      </c>
      <c r="C111" s="22">
        <v>0.87152777777777779</v>
      </c>
    </row>
    <row r="112" spans="1:3" x14ac:dyDescent="0.3">
      <c r="A112" s="20" t="s">
        <v>103</v>
      </c>
      <c r="B112" s="21">
        <v>0.9375</v>
      </c>
      <c r="C112" s="22">
        <v>0.98611111111111116</v>
      </c>
    </row>
    <row r="113" spans="1:3" x14ac:dyDescent="0.3">
      <c r="A113" s="35">
        <v>46229</v>
      </c>
      <c r="B113" s="17" t="s">
        <v>50</v>
      </c>
      <c r="C113" s="18"/>
    </row>
    <row r="114" spans="1:3" x14ac:dyDescent="0.3">
      <c r="A114" s="20" t="s">
        <v>104</v>
      </c>
      <c r="B114" s="21">
        <v>0.75</v>
      </c>
      <c r="C114" s="22">
        <v>0.79166666666666663</v>
      </c>
    </row>
    <row r="115" spans="1:3" x14ac:dyDescent="0.3">
      <c r="A115" s="20" t="s">
        <v>31</v>
      </c>
      <c r="B115" s="21">
        <v>0.82291666666666663</v>
      </c>
      <c r="C115" s="22">
        <v>0.86458333333333326</v>
      </c>
    </row>
    <row r="116" spans="1:3" x14ac:dyDescent="0.3">
      <c r="A116" s="20" t="s">
        <v>105</v>
      </c>
      <c r="B116" s="21">
        <v>0.90625</v>
      </c>
      <c r="C116" s="22">
        <v>0.95833333333333337</v>
      </c>
    </row>
    <row r="117" spans="1:3" ht="6" customHeight="1" x14ac:dyDescent="0.3">
      <c r="A117" s="38"/>
      <c r="B117" s="39"/>
      <c r="C117" s="39"/>
    </row>
    <row r="118" spans="1:3" ht="22.75" x14ac:dyDescent="0.3">
      <c r="A118" s="36" t="s">
        <v>8</v>
      </c>
      <c r="B118" s="37"/>
      <c r="C118" s="37"/>
    </row>
    <row r="119" spans="1:3" x14ac:dyDescent="0.3">
      <c r="A119" s="16" t="s">
        <v>1</v>
      </c>
      <c r="B119" s="25" t="s">
        <v>2</v>
      </c>
      <c r="C119" s="25"/>
    </row>
    <row r="120" spans="1:3" x14ac:dyDescent="0.3">
      <c r="A120" s="35">
        <v>46224</v>
      </c>
      <c r="B120" s="17"/>
      <c r="C120" s="18"/>
    </row>
    <row r="121" spans="1:3" x14ac:dyDescent="0.3">
      <c r="A121" s="20" t="s">
        <v>106</v>
      </c>
      <c r="B121" s="21">
        <v>0.6875</v>
      </c>
      <c r="C121" s="22">
        <v>0.72916666666666663</v>
      </c>
    </row>
    <row r="122" spans="1:3" x14ac:dyDescent="0.3">
      <c r="A122" s="20" t="s">
        <v>107</v>
      </c>
      <c r="B122" s="21">
        <v>0.78125</v>
      </c>
      <c r="C122" s="22">
        <v>0.82291666666666663</v>
      </c>
    </row>
    <row r="123" spans="1:3" x14ac:dyDescent="0.3">
      <c r="A123" s="20" t="s">
        <v>108</v>
      </c>
      <c r="B123" s="21">
        <v>0.88541666666666663</v>
      </c>
      <c r="C123" s="22">
        <v>0.92708333333333326</v>
      </c>
    </row>
    <row r="124" spans="1:3" x14ac:dyDescent="0.3">
      <c r="A124" s="20" t="s">
        <v>109</v>
      </c>
      <c r="B124" s="21">
        <v>1.0208333333333333</v>
      </c>
      <c r="C124" s="22">
        <v>1.0625</v>
      </c>
    </row>
    <row r="125" spans="1:3" x14ac:dyDescent="0.3">
      <c r="A125" s="35">
        <v>46225</v>
      </c>
      <c r="B125" s="17" t="s">
        <v>50</v>
      </c>
      <c r="C125" s="18"/>
    </row>
    <row r="126" spans="1:3" x14ac:dyDescent="0.3">
      <c r="A126" s="20" t="s">
        <v>110</v>
      </c>
      <c r="B126" s="21">
        <v>0.6875</v>
      </c>
      <c r="C126" s="22">
        <v>0.72916666666666663</v>
      </c>
    </row>
    <row r="127" spans="1:3" x14ac:dyDescent="0.3">
      <c r="A127" s="20" t="s">
        <v>111</v>
      </c>
      <c r="B127" s="21">
        <v>0.76736111111111116</v>
      </c>
      <c r="C127" s="22">
        <v>0.80902777777777779</v>
      </c>
    </row>
    <row r="128" spans="1:3" x14ac:dyDescent="0.3">
      <c r="A128" s="20" t="s">
        <v>112</v>
      </c>
      <c r="B128" s="21">
        <v>0.875</v>
      </c>
      <c r="C128" s="22">
        <v>0.91666666666666663</v>
      </c>
    </row>
    <row r="129" spans="1:3" x14ac:dyDescent="0.3">
      <c r="A129" s="20" t="s">
        <v>113</v>
      </c>
      <c r="B129" s="21">
        <v>1.0104166666666667</v>
      </c>
      <c r="C129" s="22">
        <v>1.0520833333333335</v>
      </c>
    </row>
    <row r="130" spans="1:3" x14ac:dyDescent="0.3">
      <c r="A130" s="35">
        <v>46226</v>
      </c>
      <c r="B130" s="17" t="s">
        <v>50</v>
      </c>
      <c r="C130" s="18"/>
    </row>
    <row r="131" spans="1:3" x14ac:dyDescent="0.3">
      <c r="A131" s="20" t="s">
        <v>114</v>
      </c>
      <c r="B131" s="21">
        <v>0.6875</v>
      </c>
      <c r="C131" s="22">
        <v>0.72916666666666663</v>
      </c>
    </row>
    <row r="132" spans="1:3" x14ac:dyDescent="0.3">
      <c r="A132" s="20" t="s">
        <v>115</v>
      </c>
      <c r="B132" s="21">
        <v>0.79166666666666663</v>
      </c>
      <c r="C132" s="22">
        <v>0.83333333333333326</v>
      </c>
    </row>
    <row r="133" spans="1:3" x14ac:dyDescent="0.3">
      <c r="A133" s="20" t="s">
        <v>116</v>
      </c>
      <c r="B133" s="21">
        <v>0.89583333333333337</v>
      </c>
      <c r="C133" s="22">
        <v>0.9375</v>
      </c>
    </row>
    <row r="134" spans="1:3" x14ac:dyDescent="0.3">
      <c r="A134" s="20" t="s">
        <v>117</v>
      </c>
      <c r="B134" s="21">
        <v>1</v>
      </c>
      <c r="C134" s="22">
        <v>1.0416666666666667</v>
      </c>
    </row>
    <row r="135" spans="1:3" x14ac:dyDescent="0.3">
      <c r="A135" s="35">
        <v>46227</v>
      </c>
      <c r="B135" s="17" t="s">
        <v>50</v>
      </c>
      <c r="C135" s="18"/>
    </row>
    <row r="136" spans="1:3" x14ac:dyDescent="0.3">
      <c r="A136" s="20" t="s">
        <v>118</v>
      </c>
      <c r="B136" s="21">
        <v>0.6875</v>
      </c>
      <c r="C136" s="22">
        <v>0.72916666666666663</v>
      </c>
    </row>
    <row r="137" spans="1:3" x14ac:dyDescent="0.3">
      <c r="A137" s="20" t="s">
        <v>119</v>
      </c>
      <c r="B137" s="21">
        <v>0.80208333333333337</v>
      </c>
      <c r="C137" s="22">
        <v>0.84375</v>
      </c>
    </row>
    <row r="138" spans="1:3" x14ac:dyDescent="0.3">
      <c r="A138" s="20" t="s">
        <v>120</v>
      </c>
      <c r="B138" s="21">
        <v>0.88541666666666663</v>
      </c>
      <c r="C138" s="22">
        <v>0.92708333333333326</v>
      </c>
    </row>
    <row r="139" spans="1:3" x14ac:dyDescent="0.3">
      <c r="A139" s="20" t="s">
        <v>121</v>
      </c>
      <c r="B139" s="21">
        <v>1.0104166666666667</v>
      </c>
      <c r="C139" s="22">
        <v>1.0520833333333335</v>
      </c>
    </row>
    <row r="140" spans="1:3" x14ac:dyDescent="0.3">
      <c r="A140" s="35">
        <v>46228</v>
      </c>
      <c r="B140" s="17" t="s">
        <v>50</v>
      </c>
      <c r="C140" s="18"/>
    </row>
    <row r="141" spans="1:3" x14ac:dyDescent="0.3">
      <c r="A141" s="20" t="s">
        <v>122</v>
      </c>
      <c r="B141" s="21">
        <v>0.6875</v>
      </c>
      <c r="C141" s="22">
        <v>0.72916666666666663</v>
      </c>
    </row>
    <row r="142" spans="1:3" x14ac:dyDescent="0.3">
      <c r="A142" s="20" t="s">
        <v>123</v>
      </c>
      <c r="B142" s="21">
        <v>0.78125</v>
      </c>
      <c r="C142" s="22">
        <v>0.82291666666666663</v>
      </c>
    </row>
    <row r="143" spans="1:3" x14ac:dyDescent="0.3">
      <c r="A143" s="20" t="s">
        <v>124</v>
      </c>
      <c r="B143" s="21">
        <v>0.88541666666666663</v>
      </c>
      <c r="C143" s="22">
        <v>0.92013888888888884</v>
      </c>
    </row>
    <row r="144" spans="1:3" x14ac:dyDescent="0.3">
      <c r="A144" s="20" t="s">
        <v>125</v>
      </c>
      <c r="B144" s="21">
        <v>1</v>
      </c>
      <c r="C144" s="22">
        <v>1.0451388888888888</v>
      </c>
    </row>
    <row r="145" spans="1:3" x14ac:dyDescent="0.3">
      <c r="A145" s="35">
        <v>46229</v>
      </c>
      <c r="B145" s="17" t="s">
        <v>50</v>
      </c>
      <c r="C145" s="18"/>
    </row>
    <row r="146" spans="1:3" x14ac:dyDescent="0.3">
      <c r="A146" s="20" t="s">
        <v>126</v>
      </c>
      <c r="B146" s="21">
        <v>0.75</v>
      </c>
      <c r="C146" s="22">
        <v>0.79166666666666663</v>
      </c>
    </row>
    <row r="147" spans="1:3" x14ac:dyDescent="0.3">
      <c r="A147" s="20" t="s">
        <v>127</v>
      </c>
      <c r="B147" s="21">
        <v>0.86111111111111116</v>
      </c>
      <c r="C147" s="22">
        <v>0.90277777777777779</v>
      </c>
    </row>
    <row r="148" spans="1:3" x14ac:dyDescent="0.3">
      <c r="A148" s="20" t="s">
        <v>128</v>
      </c>
      <c r="B148" s="21">
        <v>0.99652777777777779</v>
      </c>
      <c r="C148" s="22">
        <v>1.0381944444444444</v>
      </c>
    </row>
  </sheetData>
  <mergeCells count="10">
    <mergeCell ref="A91:C91"/>
    <mergeCell ref="B92:C92"/>
    <mergeCell ref="A118:C118"/>
    <mergeCell ref="B119:C119"/>
    <mergeCell ref="A1:C1"/>
    <mergeCell ref="B2:C2"/>
    <mergeCell ref="A28:C28"/>
    <mergeCell ref="B29:C29"/>
    <mergeCell ref="A58:C58"/>
    <mergeCell ref="B59:C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P52"/>
  <sheetViews>
    <sheetView topLeftCell="B1" workbookViewId="0">
      <selection activeCell="B6" sqref="B6"/>
    </sheetView>
  </sheetViews>
  <sheetFormatPr defaultColWidth="11.3828125" defaultRowHeight="12.45" x14ac:dyDescent="0.3"/>
  <cols>
    <col min="1" max="1" width="11.3828125" style="1" hidden="1" customWidth="1"/>
    <col min="2" max="2" width="41.3828125" style="1" customWidth="1"/>
    <col min="3" max="3" width="7.3828125" style="1" customWidth="1"/>
    <col min="4" max="4" width="7.3828125" style="15" customWidth="1"/>
    <col min="5" max="5" width="1.3828125" style="1" customWidth="1"/>
    <col min="6" max="7" width="7.3828125" style="1" customWidth="1"/>
    <col min="8" max="8" width="1.3828125" style="1" customWidth="1"/>
    <col min="9" max="10" width="7.3828125" style="1" customWidth="1"/>
    <col min="11" max="11" width="1.3828125" style="14" customWidth="1"/>
    <col min="12" max="12" width="7.3828125" style="1" customWidth="1"/>
    <col min="13" max="13" width="25.3828125" style="1" hidden="1" customWidth="1"/>
    <col min="14" max="14" width="11.3828125" style="1" hidden="1" customWidth="1"/>
    <col min="15" max="15" width="4.3828125" style="1" hidden="1" customWidth="1"/>
    <col min="16" max="16" width="14.3828125" style="1" hidden="1" customWidth="1"/>
    <col min="17" max="17" width="0" style="1" hidden="1" customWidth="1"/>
    <col min="18" max="16384" width="11.3828125" style="1"/>
  </cols>
  <sheetData>
    <row r="1" spans="1:16" ht="30.45" thickBot="1" x14ac:dyDescent="0.75">
      <c r="B1" s="29" t="e">
        <f>_xlfn.XLOOKUP(B2,#REF!,#REF!)</f>
        <v>#REF!</v>
      </c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6" s="2" customFormat="1" ht="26.25" customHeight="1" thickBot="1" x14ac:dyDescent="0.35">
      <c r="B2" s="30" t="s">
        <v>6</v>
      </c>
      <c r="C2" s="31"/>
      <c r="D2" s="31"/>
      <c r="E2" s="31"/>
      <c r="F2" s="31"/>
      <c r="G2" s="31"/>
      <c r="H2" s="31"/>
      <c r="I2" s="31"/>
      <c r="J2" s="31"/>
      <c r="K2" s="31"/>
      <c r="L2" s="32"/>
    </row>
    <row r="3" spans="1:16" s="4" customFormat="1" ht="37.5" customHeight="1" thickBot="1" x14ac:dyDescent="0.6">
      <c r="A3" s="27" t="e">
        <f>#REF!</f>
        <v>#REF!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3" t="e">
        <f>A3</f>
        <v>#REF!</v>
      </c>
    </row>
    <row r="4" spans="1:16" s="5" customFormat="1" ht="17.25" customHeight="1" x14ac:dyDescent="0.3">
      <c r="B4" s="19"/>
      <c r="C4" s="19" t="s">
        <v>10</v>
      </c>
      <c r="D4" s="28" t="s">
        <v>11</v>
      </c>
      <c r="E4" s="28"/>
      <c r="F4" s="28"/>
      <c r="G4" s="28" t="s">
        <v>12</v>
      </c>
      <c r="H4" s="28"/>
      <c r="I4" s="28"/>
      <c r="J4" s="26" t="s">
        <v>3</v>
      </c>
      <c r="K4" s="26"/>
      <c r="L4" s="26"/>
      <c r="M4" s="6" t="e">
        <f t="shared" ref="M4:M10" si="0">M3</f>
        <v>#REF!</v>
      </c>
    </row>
    <row r="5" spans="1:16" s="7" customFormat="1" ht="15" x14ac:dyDescent="0.35">
      <c r="A5" s="7" t="s">
        <v>13</v>
      </c>
      <c r="B5" s="8" t="str">
        <f>IF(IF(ISERROR(VLOOKUP($B$1&amp;$M5&amp;$A5,#REF!,3,0)),"",VLOOKUP($B$1&amp;$M5&amp;$A5,#REF!,3,0))=0,"",IF(ISERROR(VLOOKUP($B$1&amp;$M5&amp;$A5,#REF!,3,0)),"",VLOOKUP($B$1&amp;$M5&amp;$A5,#REF!,3,0)))</f>
        <v/>
      </c>
      <c r="C5" s="8" t="str">
        <f>IF(IF(ISERROR(VLOOKUP($B$1&amp;$M5&amp;$A5,#REF!,6,0)),"",VLOOKUP($B$1&amp;$M5&amp;$A5,#REF!,6,0))=0,"",IF(ISERROR(VLOOKUP($B$1&amp;$M5&amp;$A5,#REF!,6,0)),"",VLOOKUP($B$1&amp;$M5&amp;$A5,#REF!,6,0)))</f>
        <v/>
      </c>
      <c r="D5" s="8" t="str">
        <f>IF(IF(ISERROR(VLOOKUP($B$1&amp;$M5&amp;$A5,#REF!,11,0)),"",VLOOKUP($B$1&amp;$M5&amp;$A5,#REF!,11,0))=0,"",IF(ISERROR(VLOOKUP($B$1&amp;$M5&amp;$A5,#REF!,11,0)),"",VLOOKUP($B$1&amp;$M5&amp;$A5,#REF!,11,0)))</f>
        <v/>
      </c>
      <c r="E5" s="9" t="str">
        <f t="shared" ref="E5:E10" si="1">IF(OR(D5=0,D5=""),""," - ")</f>
        <v/>
      </c>
      <c r="F5" s="8" t="str">
        <f>IF(IF(ISERROR(VLOOKUP($B$1&amp;$M5&amp;$A5,#REF!,12,0)),"",VLOOKUP($B$1&amp;$M5&amp;$A5,#REF!,12,0))=0,"",IF(ISERROR(VLOOKUP($B$1&amp;$M5&amp;$A5,#REF!,12,0)),"",VLOOKUP($B$1&amp;$M5&amp;$A5,#REF!,12,0)))</f>
        <v/>
      </c>
      <c r="G5" s="8" t="str">
        <f>IF(IF(ISERROR(VLOOKUP($B$1&amp;$M5&amp;$A5,#REF!,13,0)),"",VLOOKUP($B$1&amp;$M5&amp;$A5,#REF!,13,0))=0,"",IF(ISERROR(VLOOKUP($B$1&amp;$M5&amp;$A5,#REF!,13,0)),"",VLOOKUP($B$1&amp;$M5&amp;$A5,#REF!,13,0)))</f>
        <v/>
      </c>
      <c r="H5" s="9" t="str">
        <f t="shared" ref="H5:H10" si="2">IF(OR(G5=0,G5=""),""," - ")</f>
        <v/>
      </c>
      <c r="I5" s="8" t="str">
        <f>IF(IF(ISERROR(VLOOKUP($B$1&amp;$M5&amp;$A5,#REF!,14,0)),"",VLOOKUP($B$1&amp;$M5&amp;$A5,#REF!,14,0))=0,"",IF(ISERROR(VLOOKUP($B$1&amp;$M5&amp;$A5,#REF!,14,0)),"",VLOOKUP($B$1&amp;$M5&amp;$A5,#REF!,14,0)))</f>
        <v/>
      </c>
      <c r="J5" s="8" t="str">
        <f>IF(IF(ISERROR(VLOOKUP($B$1&amp;$M5&amp;$A5,#REF!,4,0)),"",VLOOKUP($B$1&amp;$M5&amp;$A5,#REF!,4,0))=0,"",IF(ISERROR(VLOOKUP($B$1&amp;$M5&amp;$A5,#REF!,4,0)),"",VLOOKUP($B$1&amp;$M5&amp;$A5,#REF!,4,0)))</f>
        <v/>
      </c>
      <c r="K5" s="9" t="str">
        <f t="shared" ref="K5:K10" si="3">IF(OR(J5=0,J5=""),""," - ")</f>
        <v/>
      </c>
      <c r="L5" s="8" t="str">
        <f>IF(IF(ISERROR(VLOOKUP($B$1&amp;$M5&amp;$A5,#REF!,5,0)),"",VLOOKUP($B$1&amp;$M5&amp;$A5,#REF!,5,0))=0,"",IF(ISERROR(VLOOKUP($B$1&amp;$M5&amp;$A5,#REF!,5,0)),"",VLOOKUP($B$1&amp;$M5&amp;$A5,#REF!,5,0)))</f>
        <v/>
      </c>
      <c r="M5" s="6" t="e">
        <f t="shared" si="0"/>
        <v>#REF!</v>
      </c>
      <c r="O5" s="7" t="s">
        <v>0</v>
      </c>
      <c r="P5" s="7" t="s">
        <v>14</v>
      </c>
    </row>
    <row r="6" spans="1:16" s="7" customFormat="1" ht="15" x14ac:dyDescent="0.35">
      <c r="A6" s="7" t="s">
        <v>15</v>
      </c>
      <c r="B6" s="8" t="str">
        <f>IF(IF(ISERROR(VLOOKUP($B$1&amp;$M6&amp;$A6,#REF!,3,0)),"",VLOOKUP($B$1&amp;$M6&amp;$A6,#REF!,3,0))=0,"",IF(ISERROR(VLOOKUP($B$1&amp;$M6&amp;$A6,#REF!,3,0)),"",VLOOKUP($B$1&amp;$M6&amp;$A6,#REF!,3,0)))</f>
        <v/>
      </c>
      <c r="C6" s="8" t="str">
        <f>IF(IF(ISERROR(VLOOKUP($B$1&amp;$M6&amp;$A6,#REF!,6,0)),"",VLOOKUP($B$1&amp;$M6&amp;$A6,#REF!,6,0))=0,"",IF(ISERROR(VLOOKUP($B$1&amp;$M6&amp;$A6,#REF!,6,0)),"",VLOOKUP($B$1&amp;$M6&amp;$A6,#REF!,6,0)))</f>
        <v/>
      </c>
      <c r="D6" s="8" t="str">
        <f>IF(IF(ISERROR(VLOOKUP($B$1&amp;$M6&amp;$A6,#REF!,11,0)),"",VLOOKUP($B$1&amp;$M6&amp;$A6,#REF!,11,0))=0,"",IF(ISERROR(VLOOKUP($B$1&amp;$M6&amp;$A6,#REF!,11,0)),"",VLOOKUP($B$1&amp;$M6&amp;$A6,#REF!,11,0)))</f>
        <v/>
      </c>
      <c r="E6" s="9" t="str">
        <f t="shared" si="1"/>
        <v/>
      </c>
      <c r="F6" s="8" t="str">
        <f>IF(IF(ISERROR(VLOOKUP($B$1&amp;$M6&amp;$A6,#REF!,12,0)),"",VLOOKUP($B$1&amp;$M6&amp;$A6,#REF!,12,0))=0,"",IF(ISERROR(VLOOKUP($B$1&amp;$M6&amp;$A6,#REF!,12,0)),"",VLOOKUP($B$1&amp;$M6&amp;$A6,#REF!,12,0)))</f>
        <v/>
      </c>
      <c r="G6" s="8" t="str">
        <f>IF(IF(ISERROR(VLOOKUP($B$1&amp;$M6&amp;$A6,#REF!,13,0)),"",VLOOKUP($B$1&amp;$M6&amp;$A6,#REF!,13,0))=0,"",IF(ISERROR(VLOOKUP($B$1&amp;$M6&amp;$A6,#REF!,13,0)),"",VLOOKUP($B$1&amp;$M6&amp;$A6,#REF!,13,0)))</f>
        <v/>
      </c>
      <c r="H6" s="9" t="str">
        <f t="shared" si="2"/>
        <v/>
      </c>
      <c r="I6" s="8" t="str">
        <f>IF(IF(ISERROR(VLOOKUP($B$1&amp;$M6&amp;$A6,#REF!,14,0)),"",VLOOKUP($B$1&amp;$M6&amp;$A6,#REF!,14,0))=0,"",IF(ISERROR(VLOOKUP($B$1&amp;$M6&amp;$A6,#REF!,14,0)),"",VLOOKUP($B$1&amp;$M6&amp;$A6,#REF!,14,0)))</f>
        <v/>
      </c>
      <c r="J6" s="8" t="str">
        <f>IF(IF(ISERROR(VLOOKUP($B$1&amp;$M6&amp;$A6,#REF!,4,0)),"",VLOOKUP($B$1&amp;$M6&amp;$A6,#REF!,4,0))=0,"",IF(ISERROR(VLOOKUP($B$1&amp;$M6&amp;$A6,#REF!,4,0)),"",VLOOKUP($B$1&amp;$M6&amp;$A6,#REF!,4,0)))</f>
        <v/>
      </c>
      <c r="K6" s="9" t="str">
        <f t="shared" si="3"/>
        <v/>
      </c>
      <c r="L6" s="8" t="str">
        <f>IF(IF(ISERROR(VLOOKUP($B$1&amp;$M6&amp;$A6,#REF!,5,0)),"",VLOOKUP($B$1&amp;$M6&amp;$A6,#REF!,5,0))=0,"",IF(ISERROR(VLOOKUP($B$1&amp;$M6&amp;$A6,#REF!,5,0)),"",VLOOKUP($B$1&amp;$M6&amp;$A6,#REF!,5,0)))</f>
        <v/>
      </c>
      <c r="M6" s="6" t="e">
        <f t="shared" si="0"/>
        <v>#REF!</v>
      </c>
      <c r="O6" s="7" t="s">
        <v>9</v>
      </c>
      <c r="P6" s="7" t="s">
        <v>8</v>
      </c>
    </row>
    <row r="7" spans="1:16" s="7" customFormat="1" ht="15" x14ac:dyDescent="0.35">
      <c r="A7" s="7" t="s">
        <v>16</v>
      </c>
      <c r="B7" s="8" t="str">
        <f>IF(IF(ISERROR(VLOOKUP($B$1&amp;$M7&amp;$A7,#REF!,3,0)),"",VLOOKUP($B$1&amp;$M7&amp;$A7,#REF!,3,0))=0,"",IF(ISERROR(VLOOKUP($B$1&amp;$M7&amp;$A7,#REF!,3,0)),"",VLOOKUP($B$1&amp;$M7&amp;$A7,#REF!,3,0)))</f>
        <v/>
      </c>
      <c r="C7" s="8" t="str">
        <f>IF(IF(ISERROR(VLOOKUP($B$1&amp;$M7&amp;$A7,#REF!,6,0)),"",VLOOKUP($B$1&amp;$M7&amp;$A7,#REF!,6,0))=0,"",IF(ISERROR(VLOOKUP($B$1&amp;$M7&amp;$A7,#REF!,6,0)),"",VLOOKUP($B$1&amp;$M7&amp;$A7,#REF!,6,0)))</f>
        <v/>
      </c>
      <c r="D7" s="8" t="str">
        <f>IF(IF(ISERROR(VLOOKUP($B$1&amp;$M7&amp;$A7,#REF!,11,0)),"",VLOOKUP($B$1&amp;$M7&amp;$A7,#REF!,11,0))=0,"",IF(ISERROR(VLOOKUP($B$1&amp;$M7&amp;$A7,#REF!,11,0)),"",VLOOKUP($B$1&amp;$M7&amp;$A7,#REF!,11,0)))</f>
        <v/>
      </c>
      <c r="E7" s="9" t="str">
        <f t="shared" si="1"/>
        <v/>
      </c>
      <c r="F7" s="8" t="str">
        <f>IF(IF(ISERROR(VLOOKUP($B$1&amp;$M7&amp;$A7,#REF!,12,0)),"",VLOOKUP($B$1&amp;$M7&amp;$A7,#REF!,12,0))=0,"",IF(ISERROR(VLOOKUP($B$1&amp;$M7&amp;$A7,#REF!,12,0)),"",VLOOKUP($B$1&amp;$M7&amp;$A7,#REF!,12,0)))</f>
        <v/>
      </c>
      <c r="G7" s="8" t="str">
        <f>IF(IF(ISERROR(VLOOKUP($B$1&amp;$M7&amp;$A7,#REF!,13,0)),"",VLOOKUP($B$1&amp;$M7&amp;$A7,#REF!,13,0))=0,"",IF(ISERROR(VLOOKUP($B$1&amp;$M7&amp;$A7,#REF!,13,0)),"",VLOOKUP($B$1&amp;$M7&amp;$A7,#REF!,13,0)))</f>
        <v/>
      </c>
      <c r="H7" s="9" t="str">
        <f t="shared" si="2"/>
        <v/>
      </c>
      <c r="I7" s="8" t="str">
        <f>IF(IF(ISERROR(VLOOKUP($B$1&amp;$M7&amp;$A7,#REF!,14,0)),"",VLOOKUP($B$1&amp;$M7&amp;$A7,#REF!,14,0))=0,"",IF(ISERROR(VLOOKUP($B$1&amp;$M7&amp;$A7,#REF!,14,0)),"",VLOOKUP($B$1&amp;$M7&amp;$A7,#REF!,14,0)))</f>
        <v/>
      </c>
      <c r="J7" s="8" t="str">
        <f>IF(IF(ISERROR(VLOOKUP($B$1&amp;$M7&amp;$A7,#REF!,4,0)),"",VLOOKUP($B$1&amp;$M7&amp;$A7,#REF!,4,0))=0,"",IF(ISERROR(VLOOKUP($B$1&amp;$M7&amp;$A7,#REF!,4,0)),"",VLOOKUP($B$1&amp;$M7&amp;$A7,#REF!,4,0)))</f>
        <v/>
      </c>
      <c r="K7" s="9" t="str">
        <f t="shared" si="3"/>
        <v/>
      </c>
      <c r="L7" s="8" t="str">
        <f>IF(IF(ISERROR(VLOOKUP($B$1&amp;$M7&amp;$A7,#REF!,5,0)),"",VLOOKUP($B$1&amp;$M7&amp;$A7,#REF!,5,0))=0,"",IF(ISERROR(VLOOKUP($B$1&amp;$M7&amp;$A7,#REF!,5,0)),"",VLOOKUP($B$1&amp;$M7&amp;$A7,#REF!,5,0)))</f>
        <v/>
      </c>
      <c r="M7" s="6" t="e">
        <f t="shared" si="0"/>
        <v>#REF!</v>
      </c>
      <c r="O7" s="7" t="s">
        <v>17</v>
      </c>
      <c r="P7" s="7" t="s">
        <v>18</v>
      </c>
    </row>
    <row r="8" spans="1:16" s="7" customFormat="1" ht="15" x14ac:dyDescent="0.35">
      <c r="A8" s="7" t="s">
        <v>19</v>
      </c>
      <c r="B8" s="8" t="str">
        <f>IF(IF(ISERROR(VLOOKUP($B$1&amp;$M8&amp;$A8,#REF!,3,0)),"",VLOOKUP($B$1&amp;$M8&amp;$A8,#REF!,3,0))=0,"",IF(ISERROR(VLOOKUP($B$1&amp;$M8&amp;$A8,#REF!,3,0)),"",VLOOKUP($B$1&amp;$M8&amp;$A8,#REF!,3,0)))</f>
        <v/>
      </c>
      <c r="C8" s="8" t="str">
        <f>IF(IF(ISERROR(VLOOKUP($B$1&amp;$M8&amp;$A8,#REF!,6,0)),"",VLOOKUP($B$1&amp;$M8&amp;$A8,#REF!,6,0))=0,"",IF(ISERROR(VLOOKUP($B$1&amp;$M8&amp;$A8,#REF!,6,0)),"",VLOOKUP($B$1&amp;$M8&amp;$A8,#REF!,6,0)))</f>
        <v/>
      </c>
      <c r="D8" s="8" t="str">
        <f>IF(IF(ISERROR(VLOOKUP($B$1&amp;$M8&amp;$A8,#REF!,11,0)),"",VLOOKUP($B$1&amp;$M8&amp;$A8,#REF!,11,0))=0,"",IF(ISERROR(VLOOKUP($B$1&amp;$M8&amp;$A8,#REF!,11,0)),"",VLOOKUP($B$1&amp;$M8&amp;$A8,#REF!,11,0)))</f>
        <v/>
      </c>
      <c r="E8" s="9" t="str">
        <f t="shared" si="1"/>
        <v/>
      </c>
      <c r="F8" s="8" t="str">
        <f>IF(IF(ISERROR(VLOOKUP($B$1&amp;$M8&amp;$A8,#REF!,12,0)),"",VLOOKUP($B$1&amp;$M8&amp;$A8,#REF!,12,0))=0,"",IF(ISERROR(VLOOKUP($B$1&amp;$M8&amp;$A8,#REF!,12,0)),"",VLOOKUP($B$1&amp;$M8&amp;$A8,#REF!,12,0)))</f>
        <v/>
      </c>
      <c r="G8" s="8" t="str">
        <f>IF(IF(ISERROR(VLOOKUP($B$1&amp;$M8&amp;$A8,#REF!,13,0)),"",VLOOKUP($B$1&amp;$M8&amp;$A8,#REF!,13,0))=0,"",IF(ISERROR(VLOOKUP($B$1&amp;$M8&amp;$A8,#REF!,13,0)),"",VLOOKUP($B$1&amp;$M8&amp;$A8,#REF!,13,0)))</f>
        <v/>
      </c>
      <c r="H8" s="9" t="str">
        <f t="shared" si="2"/>
        <v/>
      </c>
      <c r="I8" s="8" t="str">
        <f>IF(IF(ISERROR(VLOOKUP($B$1&amp;$M8&amp;$A8,#REF!,14,0)),"",VLOOKUP($B$1&amp;$M8&amp;$A8,#REF!,14,0))=0,"",IF(ISERROR(VLOOKUP($B$1&amp;$M8&amp;$A8,#REF!,14,0)),"",VLOOKUP($B$1&amp;$M8&amp;$A8,#REF!,14,0)))</f>
        <v/>
      </c>
      <c r="J8" s="8" t="str">
        <f>IF(IF(ISERROR(VLOOKUP($B$1&amp;$M8&amp;$A8,#REF!,4,0)),"",VLOOKUP($B$1&amp;$M8&amp;$A8,#REF!,4,0))=0,"",IF(ISERROR(VLOOKUP($B$1&amp;$M8&amp;$A8,#REF!,4,0)),"",VLOOKUP($B$1&amp;$M8&amp;$A8,#REF!,4,0)))</f>
        <v/>
      </c>
      <c r="K8" s="9" t="str">
        <f t="shared" si="3"/>
        <v/>
      </c>
      <c r="L8" s="8" t="str">
        <f>IF(IF(ISERROR(VLOOKUP($B$1&amp;$M8&amp;$A8,#REF!,5,0)),"",VLOOKUP($B$1&amp;$M8&amp;$A8,#REF!,5,0))=0,"",IF(ISERROR(VLOOKUP($B$1&amp;$M8&amp;$A8,#REF!,5,0)),"",VLOOKUP($B$1&amp;$M8&amp;$A8,#REF!,5,0)))</f>
        <v/>
      </c>
      <c r="M8" s="6" t="e">
        <f t="shared" si="0"/>
        <v>#REF!</v>
      </c>
      <c r="O8" s="7" t="s">
        <v>7</v>
      </c>
      <c r="P8" s="7" t="s">
        <v>6</v>
      </c>
    </row>
    <row r="9" spans="1:16" s="7" customFormat="1" ht="15" x14ac:dyDescent="0.35">
      <c r="A9" s="7" t="s">
        <v>20</v>
      </c>
      <c r="B9" s="8" t="str">
        <f>IF(IF(ISERROR(VLOOKUP($B$1&amp;$M9&amp;$A9,#REF!,3,0)),"",VLOOKUP($B$1&amp;$M9&amp;$A9,#REF!,3,0))=0,"",IF(ISERROR(VLOOKUP($B$1&amp;$M9&amp;$A9,#REF!,3,0)),"",VLOOKUP($B$1&amp;$M9&amp;$A9,#REF!,3,0)))</f>
        <v/>
      </c>
      <c r="C9" s="8" t="str">
        <f>IF(IF(ISERROR(VLOOKUP($B$1&amp;$M9&amp;$A9,#REF!,6,0)),"",VLOOKUP($B$1&amp;$M9&amp;$A9,#REF!,6,0))=0,"",IF(ISERROR(VLOOKUP($B$1&amp;$M9&amp;$A9,#REF!,6,0)),"",VLOOKUP($B$1&amp;$M9&amp;$A9,#REF!,6,0)))</f>
        <v/>
      </c>
      <c r="D9" s="8" t="str">
        <f>IF(IF(ISERROR(VLOOKUP($B$1&amp;$M9&amp;$A9,#REF!,11,0)),"",VLOOKUP($B$1&amp;$M9&amp;$A9,#REF!,11,0))=0,"",IF(ISERROR(VLOOKUP($B$1&amp;$M9&amp;$A9,#REF!,11,0)),"",VLOOKUP($B$1&amp;$M9&amp;$A9,#REF!,11,0)))</f>
        <v/>
      </c>
      <c r="E9" s="9" t="str">
        <f t="shared" si="1"/>
        <v/>
      </c>
      <c r="F9" s="8" t="str">
        <f>IF(IF(ISERROR(VLOOKUP($B$1&amp;$M9&amp;$A9,#REF!,12,0)),"",VLOOKUP($B$1&amp;$M9&amp;$A9,#REF!,12,0))=0,"",IF(ISERROR(VLOOKUP($B$1&amp;$M9&amp;$A9,#REF!,12,0)),"",VLOOKUP($B$1&amp;$M9&amp;$A9,#REF!,12,0)))</f>
        <v/>
      </c>
      <c r="G9" s="8" t="str">
        <f>IF(IF(ISERROR(VLOOKUP($B$1&amp;$M9&amp;$A9,#REF!,13,0)),"",VLOOKUP($B$1&amp;$M9&amp;$A9,#REF!,13,0))=0,"",IF(ISERROR(VLOOKUP($B$1&amp;$M9&amp;$A9,#REF!,13,0)),"",VLOOKUP($B$1&amp;$M9&amp;$A9,#REF!,13,0)))</f>
        <v/>
      </c>
      <c r="H9" s="9" t="str">
        <f t="shared" si="2"/>
        <v/>
      </c>
      <c r="I9" s="8" t="str">
        <f>IF(IF(ISERROR(VLOOKUP($B$1&amp;$M9&amp;$A9,#REF!,14,0)),"",VLOOKUP($B$1&amp;$M9&amp;$A9,#REF!,14,0))=0,"",IF(ISERROR(VLOOKUP($B$1&amp;$M9&amp;$A9,#REF!,14,0)),"",VLOOKUP($B$1&amp;$M9&amp;$A9,#REF!,14,0)))</f>
        <v/>
      </c>
      <c r="J9" s="8" t="str">
        <f>IF(IF(ISERROR(VLOOKUP($B$1&amp;$M9&amp;$A9,#REF!,4,0)),"",VLOOKUP($B$1&amp;$M9&amp;$A9,#REF!,4,0))=0,"",IF(ISERROR(VLOOKUP($B$1&amp;$M9&amp;$A9,#REF!,4,0)),"",VLOOKUP($B$1&amp;$M9&amp;$A9,#REF!,4,0)))</f>
        <v/>
      </c>
      <c r="K9" s="9" t="str">
        <f t="shared" si="3"/>
        <v/>
      </c>
      <c r="L9" s="8" t="str">
        <f>IF(IF(ISERROR(VLOOKUP($B$1&amp;$M9&amp;$A9,#REF!,5,0)),"",VLOOKUP($B$1&amp;$M9&amp;$A9,#REF!,5,0))=0,"",IF(ISERROR(VLOOKUP($B$1&amp;$M9&amp;$A9,#REF!,5,0)),"",VLOOKUP($B$1&amp;$M9&amp;$A9,#REF!,5,0)))</f>
        <v/>
      </c>
      <c r="M9" s="6" t="e">
        <f t="shared" si="0"/>
        <v>#REF!</v>
      </c>
      <c r="O9" s="7" t="s">
        <v>21</v>
      </c>
      <c r="P9" s="7" t="s">
        <v>22</v>
      </c>
    </row>
    <row r="10" spans="1:16" s="7" customFormat="1" ht="15" x14ac:dyDescent="0.35">
      <c r="A10" s="7" t="s">
        <v>23</v>
      </c>
      <c r="B10" s="8" t="str">
        <f>IF(IF(ISERROR(VLOOKUP($B$1&amp;$M10&amp;$A10,#REF!,3,0)),"",VLOOKUP($B$1&amp;$M10&amp;$A10,#REF!,3,0))=0,"",IF(ISERROR(VLOOKUP($B$1&amp;$M10&amp;$A10,#REF!,3,0)),"",VLOOKUP($B$1&amp;$M10&amp;$A10,#REF!,3,0)))</f>
        <v/>
      </c>
      <c r="C10" s="8" t="str">
        <f>IF(IF(ISERROR(VLOOKUP($B$1&amp;$M10&amp;$A10,#REF!,6,0)),"",VLOOKUP($B$1&amp;$M10&amp;$A10,#REF!,6,0))=0,"",IF(ISERROR(VLOOKUP($B$1&amp;$M10&amp;$A10,#REF!,6,0)),"",VLOOKUP($B$1&amp;$M10&amp;$A10,#REF!,6,0)))</f>
        <v/>
      </c>
      <c r="D10" s="8" t="str">
        <f>IF(IF(ISERROR(VLOOKUP($B$1&amp;$M10&amp;$A10,#REF!,11,0)),"",VLOOKUP($B$1&amp;$M10&amp;$A10,#REF!,11,0))=0,"",IF(ISERROR(VLOOKUP($B$1&amp;$M10&amp;$A10,#REF!,11,0)),"",VLOOKUP($B$1&amp;$M10&amp;$A10,#REF!,11,0)))</f>
        <v/>
      </c>
      <c r="E10" s="9" t="str">
        <f t="shared" si="1"/>
        <v/>
      </c>
      <c r="F10" s="8" t="str">
        <f>IF(IF(ISERROR(VLOOKUP($B$1&amp;$M10&amp;$A10,#REF!,12,0)),"",VLOOKUP($B$1&amp;$M10&amp;$A10,#REF!,12,0))=0,"",IF(ISERROR(VLOOKUP($B$1&amp;$M10&amp;$A10,#REF!,12,0)),"",VLOOKUP($B$1&amp;$M10&amp;$A10,#REF!,12,0)))</f>
        <v/>
      </c>
      <c r="G10" s="8" t="str">
        <f>IF(IF(ISERROR(VLOOKUP($B$1&amp;$M10&amp;$A10,#REF!,13,0)),"",VLOOKUP($B$1&amp;$M10&amp;$A10,#REF!,13,0))=0,"",IF(ISERROR(VLOOKUP($B$1&amp;$M10&amp;$A10,#REF!,13,0)),"",VLOOKUP($B$1&amp;$M10&amp;$A10,#REF!,13,0)))</f>
        <v/>
      </c>
      <c r="H10" s="9" t="str">
        <f t="shared" si="2"/>
        <v/>
      </c>
      <c r="I10" s="8" t="str">
        <f>IF(IF(ISERROR(VLOOKUP($B$1&amp;$M10&amp;$A10,#REF!,14,0)),"",VLOOKUP($B$1&amp;$M10&amp;$A10,#REF!,14,0))=0,"",IF(ISERROR(VLOOKUP($B$1&amp;$M10&amp;$A10,#REF!,14,0)),"",VLOOKUP($B$1&amp;$M10&amp;$A10,#REF!,14,0)))</f>
        <v/>
      </c>
      <c r="J10" s="8" t="str">
        <f>IF(IF(ISERROR(VLOOKUP($B$1&amp;$M10&amp;$A10,#REF!,4,0)),"",VLOOKUP($B$1&amp;$M10&amp;$A10,#REF!,4,0))=0,"",IF(ISERROR(VLOOKUP($B$1&amp;$M10&amp;$A10,#REF!,4,0)),"",VLOOKUP($B$1&amp;$M10&amp;$A10,#REF!,4,0)))</f>
        <v/>
      </c>
      <c r="K10" s="9" t="str">
        <f t="shared" si="3"/>
        <v/>
      </c>
      <c r="L10" s="8" t="str">
        <f>IF(IF(ISERROR(VLOOKUP($B$1&amp;$M10&amp;$A10,#REF!,5,0)),"",VLOOKUP($B$1&amp;$M10&amp;$A10,#REF!,5,0))=0,"",IF(ISERROR(VLOOKUP($B$1&amp;$M10&amp;$A10,#REF!,5,0)),"",VLOOKUP($B$1&amp;$M10&amp;$A10,#REF!,5,0)))</f>
        <v/>
      </c>
      <c r="M10" s="6" t="e">
        <f t="shared" si="0"/>
        <v>#REF!</v>
      </c>
    </row>
    <row r="11" spans="1:16" s="4" customFormat="1" ht="21.75" customHeight="1" thickBot="1" x14ac:dyDescent="0.6">
      <c r="A11" s="27" t="e">
        <f>A3+1</f>
        <v>#REF!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3" t="e">
        <f>A11</f>
        <v>#REF!</v>
      </c>
    </row>
    <row r="12" spans="1:16" s="5" customFormat="1" ht="17.25" customHeight="1" x14ac:dyDescent="0.3">
      <c r="B12" s="19"/>
      <c r="C12" s="19" t="s">
        <v>10</v>
      </c>
      <c r="D12" s="28" t="s">
        <v>11</v>
      </c>
      <c r="E12" s="28"/>
      <c r="F12" s="28"/>
      <c r="G12" s="28" t="s">
        <v>12</v>
      </c>
      <c r="H12" s="28"/>
      <c r="I12" s="28"/>
      <c r="J12" s="26" t="s">
        <v>3</v>
      </c>
      <c r="K12" s="26"/>
      <c r="L12" s="26"/>
      <c r="M12" s="6" t="e">
        <f t="shared" ref="M12:M18" si="4">M11</f>
        <v>#REF!</v>
      </c>
    </row>
    <row r="13" spans="1:16" s="7" customFormat="1" ht="15" x14ac:dyDescent="0.35">
      <c r="A13" s="7" t="s">
        <v>13</v>
      </c>
      <c r="B13" s="8" t="str">
        <f>IF(IF(ISERROR(VLOOKUP($B$1&amp;$M13&amp;$A13,#REF!,3,0)),"",VLOOKUP($B$1&amp;$M13&amp;$A13,#REF!,3,0))=0,"",IF(ISERROR(VLOOKUP($B$1&amp;$M13&amp;$A13,#REF!,3,0)),"",VLOOKUP($B$1&amp;$M13&amp;$A13,#REF!,3,0)))</f>
        <v/>
      </c>
      <c r="C13" s="8" t="str">
        <f>IF(IF(ISERROR(VLOOKUP($B$1&amp;$M13&amp;$A13,#REF!,6,0)),"",VLOOKUP($B$1&amp;$M13&amp;$A13,#REF!,6,0))=0,"",IF(ISERROR(VLOOKUP($B$1&amp;$M13&amp;$A13,#REF!,6,0)),"",VLOOKUP($B$1&amp;$M13&amp;$A13,#REF!,6,0)))</f>
        <v/>
      </c>
      <c r="D13" s="8" t="str">
        <f>IF(IF(ISERROR(VLOOKUP($B$1&amp;$M13&amp;$A13,#REF!,11,0)),"",VLOOKUP($B$1&amp;$M13&amp;$A13,#REF!,11,0))=0,"",IF(ISERROR(VLOOKUP($B$1&amp;$M13&amp;$A13,#REF!,11,0)),"",VLOOKUP($B$1&amp;$M13&amp;$A13,#REF!,11,0)))</f>
        <v/>
      </c>
      <c r="E13" s="9" t="str">
        <f t="shared" ref="E13:E18" si="5">IF(OR(D13=0,D13=""),""," - ")</f>
        <v/>
      </c>
      <c r="F13" s="8" t="str">
        <f>IF(IF(ISERROR(VLOOKUP($B$1&amp;$M13&amp;$A13,#REF!,12,0)),"",VLOOKUP($B$1&amp;$M13&amp;$A13,#REF!,12,0))=0,"",IF(ISERROR(VLOOKUP($B$1&amp;$M13&amp;$A13,#REF!,12,0)),"",VLOOKUP($B$1&amp;$M13&amp;$A13,#REF!,12,0)))</f>
        <v/>
      </c>
      <c r="G13" s="8" t="str">
        <f>IF(IF(ISERROR(VLOOKUP($B$1&amp;$M13&amp;$A13,#REF!,13,0)),"",VLOOKUP($B$1&amp;$M13&amp;$A13,#REF!,13,0))=0,"",IF(ISERROR(VLOOKUP($B$1&amp;$M13&amp;$A13,#REF!,13,0)),"",VLOOKUP($B$1&amp;$M13&amp;$A13,#REF!,13,0)))</f>
        <v/>
      </c>
      <c r="H13" s="9" t="str">
        <f t="shared" ref="H13:H18" si="6">IF(OR(G13=0,G13=""),""," - ")</f>
        <v/>
      </c>
      <c r="I13" s="8" t="str">
        <f>IF(IF(ISERROR(VLOOKUP($B$1&amp;$M13&amp;$A13,#REF!,14,0)),"",VLOOKUP($B$1&amp;$M13&amp;$A13,#REF!,14,0))=0,"",IF(ISERROR(VLOOKUP($B$1&amp;$M13&amp;$A13,#REF!,14,0)),"",VLOOKUP($B$1&amp;$M13&amp;$A13,#REF!,14,0)))</f>
        <v/>
      </c>
      <c r="J13" s="8" t="str">
        <f>IF(IF(ISERROR(VLOOKUP($B$1&amp;$M13&amp;$A13,#REF!,4,0)),"",VLOOKUP($B$1&amp;$M13&amp;$A13,#REF!,4,0))=0,"",IF(ISERROR(VLOOKUP($B$1&amp;$M13&amp;$A13,#REF!,4,0)),"",VLOOKUP($B$1&amp;$M13&amp;$A13,#REF!,4,0)))</f>
        <v/>
      </c>
      <c r="K13" s="9" t="str">
        <f t="shared" ref="K13:K18" si="7">IF(OR(J13=0,J13=""),""," - ")</f>
        <v/>
      </c>
      <c r="L13" s="8" t="str">
        <f>IF(IF(ISERROR(VLOOKUP($B$1&amp;$M13&amp;$A13,#REF!,5,0)),"",VLOOKUP($B$1&amp;$M13&amp;$A13,#REF!,5,0))=0,"",IF(ISERROR(VLOOKUP($B$1&amp;$M13&amp;$A13,#REF!,5,0)),"",VLOOKUP($B$1&amp;$M13&amp;$A13,#REF!,5,0)))</f>
        <v/>
      </c>
      <c r="M13" s="6" t="e">
        <f t="shared" si="4"/>
        <v>#REF!</v>
      </c>
    </row>
    <row r="14" spans="1:16" s="7" customFormat="1" ht="15" x14ac:dyDescent="0.35">
      <c r="A14" s="7" t="s">
        <v>15</v>
      </c>
      <c r="B14" s="8" t="str">
        <f>IF(IF(ISERROR(VLOOKUP($B$1&amp;$M14&amp;$A14,#REF!,3,0)),"",VLOOKUP($B$1&amp;$M14&amp;$A14,#REF!,3,0))=0,"",IF(ISERROR(VLOOKUP($B$1&amp;$M14&amp;$A14,#REF!,3,0)),"",VLOOKUP($B$1&amp;$M14&amp;$A14,#REF!,3,0)))</f>
        <v/>
      </c>
      <c r="C14" s="8" t="str">
        <f>IF(IF(ISERROR(VLOOKUP($B$1&amp;$M14&amp;$A14,#REF!,6,0)),"",VLOOKUP($B$1&amp;$M14&amp;$A14,#REF!,6,0))=0,"",IF(ISERROR(VLOOKUP($B$1&amp;$M14&amp;$A14,#REF!,6,0)),"",VLOOKUP($B$1&amp;$M14&amp;$A14,#REF!,6,0)))</f>
        <v/>
      </c>
      <c r="D14" s="8" t="str">
        <f>IF(IF(ISERROR(VLOOKUP($B$1&amp;$M14&amp;$A14,#REF!,11,0)),"",VLOOKUP($B$1&amp;$M14&amp;$A14,#REF!,11,0))=0,"",IF(ISERROR(VLOOKUP($B$1&amp;$M14&amp;$A14,#REF!,11,0)),"",VLOOKUP($B$1&amp;$M14&amp;$A14,#REF!,11,0)))</f>
        <v/>
      </c>
      <c r="E14" s="9" t="str">
        <f t="shared" si="5"/>
        <v/>
      </c>
      <c r="F14" s="8" t="str">
        <f>IF(IF(ISERROR(VLOOKUP($B$1&amp;$M14&amp;$A14,#REF!,12,0)),"",VLOOKUP($B$1&amp;$M14&amp;$A14,#REF!,12,0))=0,"",IF(ISERROR(VLOOKUP($B$1&amp;$M14&amp;$A14,#REF!,12,0)),"",VLOOKUP($B$1&amp;$M14&amp;$A14,#REF!,12,0)))</f>
        <v/>
      </c>
      <c r="G14" s="8" t="str">
        <f>IF(IF(ISERROR(VLOOKUP($B$1&amp;$M14&amp;$A14,#REF!,13,0)),"",VLOOKUP($B$1&amp;$M14&amp;$A14,#REF!,13,0))=0,"",IF(ISERROR(VLOOKUP($B$1&amp;$M14&amp;$A14,#REF!,13,0)),"",VLOOKUP($B$1&amp;$M14&amp;$A14,#REF!,13,0)))</f>
        <v/>
      </c>
      <c r="H14" s="9" t="str">
        <f t="shared" si="6"/>
        <v/>
      </c>
      <c r="I14" s="8" t="str">
        <f>IF(IF(ISERROR(VLOOKUP($B$1&amp;$M14&amp;$A14,#REF!,14,0)),"",VLOOKUP($B$1&amp;$M14&amp;$A14,#REF!,14,0))=0,"",IF(ISERROR(VLOOKUP($B$1&amp;$M14&amp;$A14,#REF!,14,0)),"",VLOOKUP($B$1&amp;$M14&amp;$A14,#REF!,14,0)))</f>
        <v/>
      </c>
      <c r="J14" s="8" t="str">
        <f>IF(IF(ISERROR(VLOOKUP($B$1&amp;$M14&amp;$A14,#REF!,4,0)),"",VLOOKUP($B$1&amp;$M14&amp;$A14,#REF!,4,0))=0,"",IF(ISERROR(VLOOKUP($B$1&amp;$M14&amp;$A14,#REF!,4,0)),"",VLOOKUP($B$1&amp;$M14&amp;$A14,#REF!,4,0)))</f>
        <v/>
      </c>
      <c r="K14" s="9" t="str">
        <f t="shared" si="7"/>
        <v/>
      </c>
      <c r="L14" s="8" t="str">
        <f>IF(IF(ISERROR(VLOOKUP($B$1&amp;$M14&amp;$A14,#REF!,5,0)),"",VLOOKUP($B$1&amp;$M14&amp;$A14,#REF!,5,0))=0,"",IF(ISERROR(VLOOKUP($B$1&amp;$M14&amp;$A14,#REF!,5,0)),"",VLOOKUP($B$1&amp;$M14&amp;$A14,#REF!,5,0)))</f>
        <v/>
      </c>
      <c r="M14" s="6" t="e">
        <f t="shared" si="4"/>
        <v>#REF!</v>
      </c>
    </row>
    <row r="15" spans="1:16" s="7" customFormat="1" ht="15" x14ac:dyDescent="0.35">
      <c r="A15" s="7" t="s">
        <v>16</v>
      </c>
      <c r="B15" s="8" t="str">
        <f>IF(IF(ISERROR(VLOOKUP($B$1&amp;$M15&amp;$A15,#REF!,3,0)),"",VLOOKUP($B$1&amp;$M15&amp;$A15,#REF!,3,0))=0,"",IF(ISERROR(VLOOKUP($B$1&amp;$M15&amp;$A15,#REF!,3,0)),"",VLOOKUP($B$1&amp;$M15&amp;$A15,#REF!,3,0)))</f>
        <v/>
      </c>
      <c r="C15" s="8" t="str">
        <f>IF(IF(ISERROR(VLOOKUP($B$1&amp;$M15&amp;$A15,#REF!,6,0)),"",VLOOKUP($B$1&amp;$M15&amp;$A15,#REF!,6,0))=0,"",IF(ISERROR(VLOOKUP($B$1&amp;$M15&amp;$A15,#REF!,6,0)),"",VLOOKUP($B$1&amp;$M15&amp;$A15,#REF!,6,0)))</f>
        <v/>
      </c>
      <c r="D15" s="8" t="str">
        <f>IF(IF(ISERROR(VLOOKUP($B$1&amp;$M15&amp;$A15,#REF!,11,0)),"",VLOOKUP($B$1&amp;$M15&amp;$A15,#REF!,11,0))=0,"",IF(ISERROR(VLOOKUP($B$1&amp;$M15&amp;$A15,#REF!,11,0)),"",VLOOKUP($B$1&amp;$M15&amp;$A15,#REF!,11,0)))</f>
        <v/>
      </c>
      <c r="E15" s="9" t="str">
        <f t="shared" si="5"/>
        <v/>
      </c>
      <c r="F15" s="8" t="str">
        <f>IF(IF(ISERROR(VLOOKUP($B$1&amp;$M15&amp;$A15,#REF!,12,0)),"",VLOOKUP($B$1&amp;$M15&amp;$A15,#REF!,12,0))=0,"",IF(ISERROR(VLOOKUP($B$1&amp;$M15&amp;$A15,#REF!,12,0)),"",VLOOKUP($B$1&amp;$M15&amp;$A15,#REF!,12,0)))</f>
        <v/>
      </c>
      <c r="G15" s="8" t="str">
        <f>IF(IF(ISERROR(VLOOKUP($B$1&amp;$M15&amp;$A15,#REF!,13,0)),"",VLOOKUP($B$1&amp;$M15&amp;$A15,#REF!,13,0))=0,"",IF(ISERROR(VLOOKUP($B$1&amp;$M15&amp;$A15,#REF!,13,0)),"",VLOOKUP($B$1&amp;$M15&amp;$A15,#REF!,13,0)))</f>
        <v/>
      </c>
      <c r="H15" s="9" t="str">
        <f t="shared" si="6"/>
        <v/>
      </c>
      <c r="I15" s="8" t="str">
        <f>IF(IF(ISERROR(VLOOKUP($B$1&amp;$M15&amp;$A15,#REF!,14,0)),"",VLOOKUP($B$1&amp;$M15&amp;$A15,#REF!,14,0))=0,"",IF(ISERROR(VLOOKUP($B$1&amp;$M15&amp;$A15,#REF!,14,0)),"",VLOOKUP($B$1&amp;$M15&amp;$A15,#REF!,14,0)))</f>
        <v/>
      </c>
      <c r="J15" s="8" t="str">
        <f>IF(IF(ISERROR(VLOOKUP($B$1&amp;$M15&amp;$A15,#REF!,4,0)),"",VLOOKUP($B$1&amp;$M15&amp;$A15,#REF!,4,0))=0,"",IF(ISERROR(VLOOKUP($B$1&amp;$M15&amp;$A15,#REF!,4,0)),"",VLOOKUP($B$1&amp;$M15&amp;$A15,#REF!,4,0)))</f>
        <v/>
      </c>
      <c r="K15" s="9" t="str">
        <f t="shared" si="7"/>
        <v/>
      </c>
      <c r="L15" s="8" t="str">
        <f>IF(IF(ISERROR(VLOOKUP($B$1&amp;$M15&amp;$A15,#REF!,5,0)),"",VLOOKUP($B$1&amp;$M15&amp;$A15,#REF!,5,0))=0,"",IF(ISERROR(VLOOKUP($B$1&amp;$M15&amp;$A15,#REF!,5,0)),"",VLOOKUP($B$1&amp;$M15&amp;$A15,#REF!,5,0)))</f>
        <v/>
      </c>
      <c r="M15" s="6" t="e">
        <f t="shared" si="4"/>
        <v>#REF!</v>
      </c>
    </row>
    <row r="16" spans="1:16" s="7" customFormat="1" ht="15" x14ac:dyDescent="0.35">
      <c r="A16" s="7" t="s">
        <v>19</v>
      </c>
      <c r="B16" s="8" t="str">
        <f>IF(IF(ISERROR(VLOOKUP($B$1&amp;$M16&amp;$A16,#REF!,3,0)),"",VLOOKUP($B$1&amp;$M16&amp;$A16,#REF!,3,0))=0,"",IF(ISERROR(VLOOKUP($B$1&amp;$M16&amp;$A16,#REF!,3,0)),"",VLOOKUP($B$1&amp;$M16&amp;$A16,#REF!,3,0)))</f>
        <v/>
      </c>
      <c r="C16" s="8" t="str">
        <f>IF(IF(ISERROR(VLOOKUP($B$1&amp;$M16&amp;$A16,#REF!,6,0)),"",VLOOKUP($B$1&amp;$M16&amp;$A16,#REF!,6,0))=0,"",IF(ISERROR(VLOOKUP($B$1&amp;$M16&amp;$A16,#REF!,6,0)),"",VLOOKUP($B$1&amp;$M16&amp;$A16,#REF!,6,0)))</f>
        <v/>
      </c>
      <c r="D16" s="8" t="str">
        <f>IF(IF(ISERROR(VLOOKUP($B$1&amp;$M16&amp;$A16,#REF!,11,0)),"",VLOOKUP($B$1&amp;$M16&amp;$A16,#REF!,11,0))=0,"",IF(ISERROR(VLOOKUP($B$1&amp;$M16&amp;$A16,#REF!,11,0)),"",VLOOKUP($B$1&amp;$M16&amp;$A16,#REF!,11,0)))</f>
        <v/>
      </c>
      <c r="E16" s="9" t="str">
        <f t="shared" si="5"/>
        <v/>
      </c>
      <c r="F16" s="8" t="str">
        <f>IF(IF(ISERROR(VLOOKUP($B$1&amp;$M16&amp;$A16,#REF!,12,0)),"",VLOOKUP($B$1&amp;$M16&amp;$A16,#REF!,12,0))=0,"",IF(ISERROR(VLOOKUP($B$1&amp;$M16&amp;$A16,#REF!,12,0)),"",VLOOKUP($B$1&amp;$M16&amp;$A16,#REF!,12,0)))</f>
        <v/>
      </c>
      <c r="G16" s="8" t="str">
        <f>IF(IF(ISERROR(VLOOKUP($B$1&amp;$M16&amp;$A16,#REF!,13,0)),"",VLOOKUP($B$1&amp;$M16&amp;$A16,#REF!,13,0))=0,"",IF(ISERROR(VLOOKUP($B$1&amp;$M16&amp;$A16,#REF!,13,0)),"",VLOOKUP($B$1&amp;$M16&amp;$A16,#REF!,13,0)))</f>
        <v/>
      </c>
      <c r="H16" s="9" t="str">
        <f t="shared" si="6"/>
        <v/>
      </c>
      <c r="I16" s="8" t="str">
        <f>IF(IF(ISERROR(VLOOKUP($B$1&amp;$M16&amp;$A16,#REF!,14,0)),"",VLOOKUP($B$1&amp;$M16&amp;$A16,#REF!,14,0))=0,"",IF(ISERROR(VLOOKUP($B$1&amp;$M16&amp;$A16,#REF!,14,0)),"",VLOOKUP($B$1&amp;$M16&amp;$A16,#REF!,14,0)))</f>
        <v/>
      </c>
      <c r="J16" s="8" t="str">
        <f>IF(IF(ISERROR(VLOOKUP($B$1&amp;$M16&amp;$A16,#REF!,4,0)),"",VLOOKUP($B$1&amp;$M16&amp;$A16,#REF!,4,0))=0,"",IF(ISERROR(VLOOKUP($B$1&amp;$M16&amp;$A16,#REF!,4,0)),"",VLOOKUP($B$1&amp;$M16&amp;$A16,#REF!,4,0)))</f>
        <v/>
      </c>
      <c r="K16" s="9" t="str">
        <f t="shared" si="7"/>
        <v/>
      </c>
      <c r="L16" s="8" t="str">
        <f>IF(IF(ISERROR(VLOOKUP($B$1&amp;$M16&amp;$A16,#REF!,5,0)),"",VLOOKUP($B$1&amp;$M16&amp;$A16,#REF!,5,0))=0,"",IF(ISERROR(VLOOKUP($B$1&amp;$M16&amp;$A16,#REF!,5,0)),"",VLOOKUP($B$1&amp;$M16&amp;$A16,#REF!,5,0)))</f>
        <v/>
      </c>
      <c r="M16" s="6" t="e">
        <f t="shared" si="4"/>
        <v>#REF!</v>
      </c>
    </row>
    <row r="17" spans="1:13" s="7" customFormat="1" ht="15" x14ac:dyDescent="0.35">
      <c r="A17" s="7" t="s">
        <v>20</v>
      </c>
      <c r="B17" s="8" t="str">
        <f>IF(IF(ISERROR(VLOOKUP($B$1&amp;$M17&amp;$A17,#REF!,3,0)),"",VLOOKUP($B$1&amp;$M17&amp;$A17,#REF!,3,0))=0,"",IF(ISERROR(VLOOKUP($B$1&amp;$M17&amp;$A17,#REF!,3,0)),"",VLOOKUP($B$1&amp;$M17&amp;$A17,#REF!,3,0)))</f>
        <v/>
      </c>
      <c r="C17" s="8" t="str">
        <f>IF(IF(ISERROR(VLOOKUP($B$1&amp;$M17&amp;$A17,#REF!,6,0)),"",VLOOKUP($B$1&amp;$M17&amp;$A17,#REF!,6,0))=0,"",IF(ISERROR(VLOOKUP($B$1&amp;$M17&amp;$A17,#REF!,6,0)),"",VLOOKUP($B$1&amp;$M17&amp;$A17,#REF!,6,0)))</f>
        <v/>
      </c>
      <c r="D17" s="8" t="str">
        <f>IF(IF(ISERROR(VLOOKUP($B$1&amp;$M17&amp;$A17,#REF!,11,0)),"",VLOOKUP($B$1&amp;$M17&amp;$A17,#REF!,11,0))=0,"",IF(ISERROR(VLOOKUP($B$1&amp;$M17&amp;$A17,#REF!,11,0)),"",VLOOKUP($B$1&amp;$M17&amp;$A17,#REF!,11,0)))</f>
        <v/>
      </c>
      <c r="E17" s="9" t="str">
        <f t="shared" si="5"/>
        <v/>
      </c>
      <c r="F17" s="8" t="str">
        <f>IF(IF(ISERROR(VLOOKUP($B$1&amp;$M17&amp;$A17,#REF!,12,0)),"",VLOOKUP($B$1&amp;$M17&amp;$A17,#REF!,12,0))=0,"",IF(ISERROR(VLOOKUP($B$1&amp;$M17&amp;$A17,#REF!,12,0)),"",VLOOKUP($B$1&amp;$M17&amp;$A17,#REF!,12,0)))</f>
        <v/>
      </c>
      <c r="G17" s="8" t="str">
        <f>IF(IF(ISERROR(VLOOKUP($B$1&amp;$M17&amp;$A17,#REF!,13,0)),"",VLOOKUP($B$1&amp;$M17&amp;$A17,#REF!,13,0))=0,"",IF(ISERROR(VLOOKUP($B$1&amp;$M17&amp;$A17,#REF!,13,0)),"",VLOOKUP($B$1&amp;$M17&amp;$A17,#REF!,13,0)))</f>
        <v/>
      </c>
      <c r="H17" s="9" t="str">
        <f t="shared" si="6"/>
        <v/>
      </c>
      <c r="I17" s="8" t="str">
        <f>IF(IF(ISERROR(VLOOKUP($B$1&amp;$M17&amp;$A17,#REF!,14,0)),"",VLOOKUP($B$1&amp;$M17&amp;$A17,#REF!,14,0))=0,"",IF(ISERROR(VLOOKUP($B$1&amp;$M17&amp;$A17,#REF!,14,0)),"",VLOOKUP($B$1&amp;$M17&amp;$A17,#REF!,14,0)))</f>
        <v/>
      </c>
      <c r="J17" s="8" t="str">
        <f>IF(IF(ISERROR(VLOOKUP($B$1&amp;$M17&amp;$A17,#REF!,4,0)),"",VLOOKUP($B$1&amp;$M17&amp;$A17,#REF!,4,0))=0,"",IF(ISERROR(VLOOKUP($B$1&amp;$M17&amp;$A17,#REF!,4,0)),"",VLOOKUP($B$1&amp;$M17&amp;$A17,#REF!,4,0)))</f>
        <v/>
      </c>
      <c r="K17" s="9" t="str">
        <f t="shared" si="7"/>
        <v/>
      </c>
      <c r="L17" s="8" t="str">
        <f>IF(IF(ISERROR(VLOOKUP($B$1&amp;$M17&amp;$A17,#REF!,5,0)),"",VLOOKUP($B$1&amp;$M17&amp;$A17,#REF!,5,0))=0,"",IF(ISERROR(VLOOKUP($B$1&amp;$M17&amp;$A17,#REF!,5,0)),"",VLOOKUP($B$1&amp;$M17&amp;$A17,#REF!,5,0)))</f>
        <v/>
      </c>
      <c r="M17" s="6" t="e">
        <f t="shared" si="4"/>
        <v>#REF!</v>
      </c>
    </row>
    <row r="18" spans="1:13" s="7" customFormat="1" ht="15" x14ac:dyDescent="0.35">
      <c r="A18" s="7" t="s">
        <v>23</v>
      </c>
      <c r="B18" s="8" t="str">
        <f>IF(IF(ISERROR(VLOOKUP($B$1&amp;$M18&amp;$A18,#REF!,3,0)),"",VLOOKUP($B$1&amp;$M18&amp;$A18,#REF!,3,0))=0,"",IF(ISERROR(VLOOKUP($B$1&amp;$M18&amp;$A18,#REF!,3,0)),"",VLOOKUP($B$1&amp;$M18&amp;$A18,#REF!,3,0)))</f>
        <v/>
      </c>
      <c r="C18" s="8" t="str">
        <f>IF(IF(ISERROR(VLOOKUP($B$1&amp;$M18&amp;$A18,#REF!,6,0)),"",VLOOKUP($B$1&amp;$M18&amp;$A18,#REF!,6,0))=0,"",IF(ISERROR(VLOOKUP($B$1&amp;$M18&amp;$A18,#REF!,6,0)),"",VLOOKUP($B$1&amp;$M18&amp;$A18,#REF!,6,0)))</f>
        <v/>
      </c>
      <c r="D18" s="8" t="str">
        <f>IF(IF(ISERROR(VLOOKUP($B$1&amp;$M18&amp;$A18,#REF!,11,0)),"",VLOOKUP($B$1&amp;$M18&amp;$A18,#REF!,11,0))=0,"",IF(ISERROR(VLOOKUP($B$1&amp;$M18&amp;$A18,#REF!,11,0)),"",VLOOKUP($B$1&amp;$M18&amp;$A18,#REF!,11,0)))</f>
        <v/>
      </c>
      <c r="E18" s="9" t="str">
        <f t="shared" si="5"/>
        <v/>
      </c>
      <c r="F18" s="8" t="str">
        <f>IF(IF(ISERROR(VLOOKUP($B$1&amp;$M18&amp;$A18,#REF!,12,0)),"",VLOOKUP($B$1&amp;$M18&amp;$A18,#REF!,12,0))=0,"",IF(ISERROR(VLOOKUP($B$1&amp;$M18&amp;$A18,#REF!,12,0)),"",VLOOKUP($B$1&amp;$M18&amp;$A18,#REF!,12,0)))</f>
        <v/>
      </c>
      <c r="G18" s="8" t="str">
        <f>IF(IF(ISERROR(VLOOKUP($B$1&amp;$M18&amp;$A18,#REF!,13,0)),"",VLOOKUP($B$1&amp;$M18&amp;$A18,#REF!,13,0))=0,"",IF(ISERROR(VLOOKUP($B$1&amp;$M18&amp;$A18,#REF!,13,0)),"",VLOOKUP($B$1&amp;$M18&amp;$A18,#REF!,13,0)))</f>
        <v/>
      </c>
      <c r="H18" s="9" t="str">
        <f t="shared" si="6"/>
        <v/>
      </c>
      <c r="I18" s="8" t="str">
        <f>IF(IF(ISERROR(VLOOKUP($B$1&amp;$M18&amp;$A18,#REF!,14,0)),"",VLOOKUP($B$1&amp;$M18&amp;$A18,#REF!,14,0))=0,"",IF(ISERROR(VLOOKUP($B$1&amp;$M18&amp;$A18,#REF!,14,0)),"",VLOOKUP($B$1&amp;$M18&amp;$A18,#REF!,14,0)))</f>
        <v/>
      </c>
      <c r="J18" s="8" t="str">
        <f>IF(IF(ISERROR(VLOOKUP($B$1&amp;$M18&amp;$A18,#REF!,4,0)),"",VLOOKUP($B$1&amp;$M18&amp;$A18,#REF!,4,0))=0,"",IF(ISERROR(VLOOKUP($B$1&amp;$M18&amp;$A18,#REF!,4,0)),"",VLOOKUP($B$1&amp;$M18&amp;$A18,#REF!,4,0)))</f>
        <v/>
      </c>
      <c r="K18" s="9" t="str">
        <f t="shared" si="7"/>
        <v/>
      </c>
      <c r="L18" s="8" t="str">
        <f>IF(IF(ISERROR(VLOOKUP($B$1&amp;$M18&amp;$A18,#REF!,5,0)),"",VLOOKUP($B$1&amp;$M18&amp;$A18,#REF!,5,0))=0,"",IF(ISERROR(VLOOKUP($B$1&amp;$M18&amp;$A18,#REF!,5,0)),"",VLOOKUP($B$1&amp;$M18&amp;$A18,#REF!,5,0)))</f>
        <v/>
      </c>
      <c r="M18" s="6" t="e">
        <f t="shared" si="4"/>
        <v>#REF!</v>
      </c>
    </row>
    <row r="19" spans="1:13" s="4" customFormat="1" ht="21.75" customHeight="1" thickBot="1" x14ac:dyDescent="0.6">
      <c r="A19" s="27" t="e">
        <f>A11+1</f>
        <v>#REF!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" t="e">
        <f>A19</f>
        <v>#REF!</v>
      </c>
    </row>
    <row r="20" spans="1:13" s="5" customFormat="1" ht="17.25" customHeight="1" x14ac:dyDescent="0.3">
      <c r="B20" s="19"/>
      <c r="C20" s="19" t="s">
        <v>10</v>
      </c>
      <c r="D20" s="28" t="s">
        <v>11</v>
      </c>
      <c r="E20" s="28"/>
      <c r="F20" s="28"/>
      <c r="G20" s="28" t="s">
        <v>12</v>
      </c>
      <c r="H20" s="28"/>
      <c r="I20" s="28"/>
      <c r="J20" s="26" t="s">
        <v>3</v>
      </c>
      <c r="K20" s="26"/>
      <c r="L20" s="26"/>
      <c r="M20" s="6" t="e">
        <f t="shared" ref="M20:M26" si="8">M19</f>
        <v>#REF!</v>
      </c>
    </row>
    <row r="21" spans="1:13" s="7" customFormat="1" ht="15" x14ac:dyDescent="0.35">
      <c r="A21" s="7" t="s">
        <v>13</v>
      </c>
      <c r="B21" s="8" t="str">
        <f>IF(IF(ISERROR(VLOOKUP($B$1&amp;$M21&amp;$A21,#REF!,3,0)),"",VLOOKUP($B$1&amp;$M21&amp;$A21,#REF!,3,0))=0,"",IF(ISERROR(VLOOKUP($B$1&amp;$M21&amp;$A21,#REF!,3,0)),"",VLOOKUP($B$1&amp;$M21&amp;$A21,#REF!,3,0)))</f>
        <v/>
      </c>
      <c r="C21" s="8" t="str">
        <f>IF(IF(ISERROR(VLOOKUP($B$1&amp;$M21&amp;$A21,#REF!,6,0)),"",VLOOKUP($B$1&amp;$M21&amp;$A21,#REF!,6,0))=0,"",IF(ISERROR(VLOOKUP($B$1&amp;$M21&amp;$A21,#REF!,6,0)),"",VLOOKUP($B$1&amp;$M21&amp;$A21,#REF!,6,0)))</f>
        <v/>
      </c>
      <c r="D21" s="8" t="str">
        <f>IF(IF(ISERROR(VLOOKUP($B$1&amp;$M21&amp;$A21,#REF!,11,0)),"",VLOOKUP($B$1&amp;$M21&amp;$A21,#REF!,11,0))=0,"",IF(ISERROR(VLOOKUP($B$1&amp;$M21&amp;$A21,#REF!,11,0)),"",VLOOKUP($B$1&amp;$M21&amp;$A21,#REF!,11,0)))</f>
        <v/>
      </c>
      <c r="E21" s="9" t="str">
        <f t="shared" ref="E21:E26" si="9">IF(OR(D21=0,D21=""),""," - ")</f>
        <v/>
      </c>
      <c r="F21" s="8" t="str">
        <f>IF(IF(ISERROR(VLOOKUP($B$1&amp;$M21&amp;$A21,#REF!,12,0)),"",VLOOKUP($B$1&amp;$M21&amp;$A21,#REF!,12,0))=0,"",IF(ISERROR(VLOOKUP($B$1&amp;$M21&amp;$A21,#REF!,12,0)),"",VLOOKUP($B$1&amp;$M21&amp;$A21,#REF!,12,0)))</f>
        <v/>
      </c>
      <c r="G21" s="8" t="str">
        <f>IF(IF(ISERROR(VLOOKUP($B$1&amp;$M21&amp;$A21,#REF!,13,0)),"",VLOOKUP($B$1&amp;$M21&amp;$A21,#REF!,13,0))=0,"",IF(ISERROR(VLOOKUP($B$1&amp;$M21&amp;$A21,#REF!,13,0)),"",VLOOKUP($B$1&amp;$M21&amp;$A21,#REF!,13,0)))</f>
        <v/>
      </c>
      <c r="H21" s="9" t="str">
        <f t="shared" ref="H21:H26" si="10">IF(OR(G21=0,G21=""),""," - ")</f>
        <v/>
      </c>
      <c r="I21" s="8" t="str">
        <f>IF(IF(ISERROR(VLOOKUP($B$1&amp;$M21&amp;$A21,#REF!,14,0)),"",VLOOKUP($B$1&amp;$M21&amp;$A21,#REF!,14,0))=0,"",IF(ISERROR(VLOOKUP($B$1&amp;$M21&amp;$A21,#REF!,14,0)),"",VLOOKUP($B$1&amp;$M21&amp;$A21,#REF!,14,0)))</f>
        <v/>
      </c>
      <c r="J21" s="8" t="str">
        <f>IF(IF(ISERROR(VLOOKUP($B$1&amp;$M21&amp;$A21,#REF!,4,0)),"",VLOOKUP($B$1&amp;$M21&amp;$A21,#REF!,4,0))=0,"",IF(ISERROR(VLOOKUP($B$1&amp;$M21&amp;$A21,#REF!,4,0)),"",VLOOKUP($B$1&amp;$M21&amp;$A21,#REF!,4,0)))</f>
        <v/>
      </c>
      <c r="K21" s="9" t="str">
        <f t="shared" ref="K21:K26" si="11">IF(OR(J21=0,J21=""),""," - ")</f>
        <v/>
      </c>
      <c r="L21" s="8" t="str">
        <f>IF(IF(ISERROR(VLOOKUP($B$1&amp;$M21&amp;$A21,#REF!,5,0)),"",VLOOKUP($B$1&amp;$M21&amp;$A21,#REF!,5,0))=0,"",IF(ISERROR(VLOOKUP($B$1&amp;$M21&amp;$A21,#REF!,5,0)),"",VLOOKUP($B$1&amp;$M21&amp;$A21,#REF!,5,0)))</f>
        <v/>
      </c>
      <c r="M21" s="6" t="e">
        <f t="shared" si="8"/>
        <v>#REF!</v>
      </c>
    </row>
    <row r="22" spans="1:13" s="7" customFormat="1" ht="15" x14ac:dyDescent="0.35">
      <c r="A22" s="7" t="s">
        <v>15</v>
      </c>
      <c r="B22" s="8" t="str">
        <f>IF(IF(ISERROR(VLOOKUP($B$1&amp;$M22&amp;$A22,#REF!,3,0)),"",VLOOKUP($B$1&amp;$M22&amp;$A22,#REF!,3,0))=0,"",IF(ISERROR(VLOOKUP($B$1&amp;$M22&amp;$A22,#REF!,3,0)),"",VLOOKUP($B$1&amp;$M22&amp;$A22,#REF!,3,0)))</f>
        <v/>
      </c>
      <c r="C22" s="8" t="str">
        <f>IF(IF(ISERROR(VLOOKUP($B$1&amp;$M22&amp;$A22,#REF!,6,0)),"",VLOOKUP($B$1&amp;$M22&amp;$A22,#REF!,6,0))=0,"",IF(ISERROR(VLOOKUP($B$1&amp;$M22&amp;$A22,#REF!,6,0)),"",VLOOKUP($B$1&amp;$M22&amp;$A22,#REF!,6,0)))</f>
        <v/>
      </c>
      <c r="D22" s="8" t="str">
        <f>IF(IF(ISERROR(VLOOKUP($B$1&amp;$M22&amp;$A22,#REF!,11,0)),"",VLOOKUP($B$1&amp;$M22&amp;$A22,#REF!,11,0))=0,"",IF(ISERROR(VLOOKUP($B$1&amp;$M22&amp;$A22,#REF!,11,0)),"",VLOOKUP($B$1&amp;$M22&amp;$A22,#REF!,11,0)))</f>
        <v/>
      </c>
      <c r="E22" s="9" t="str">
        <f t="shared" si="9"/>
        <v/>
      </c>
      <c r="F22" s="8" t="str">
        <f>IF(IF(ISERROR(VLOOKUP($B$1&amp;$M22&amp;$A22,#REF!,12,0)),"",VLOOKUP($B$1&amp;$M22&amp;$A22,#REF!,12,0))=0,"",IF(ISERROR(VLOOKUP($B$1&amp;$M22&amp;$A22,#REF!,12,0)),"",VLOOKUP($B$1&amp;$M22&amp;$A22,#REF!,12,0)))</f>
        <v/>
      </c>
      <c r="G22" s="8" t="str">
        <f>IF(IF(ISERROR(VLOOKUP($B$1&amp;$M22&amp;$A22,#REF!,13,0)),"",VLOOKUP($B$1&amp;$M22&amp;$A22,#REF!,13,0))=0,"",IF(ISERROR(VLOOKUP($B$1&amp;$M22&amp;$A22,#REF!,13,0)),"",VLOOKUP($B$1&amp;$M22&amp;$A22,#REF!,13,0)))</f>
        <v/>
      </c>
      <c r="H22" s="9" t="str">
        <f t="shared" si="10"/>
        <v/>
      </c>
      <c r="I22" s="8" t="str">
        <f>IF(IF(ISERROR(VLOOKUP($B$1&amp;$M22&amp;$A22,#REF!,14,0)),"",VLOOKUP($B$1&amp;$M22&amp;$A22,#REF!,14,0))=0,"",IF(ISERROR(VLOOKUP($B$1&amp;$M22&amp;$A22,#REF!,14,0)),"",VLOOKUP($B$1&amp;$M22&amp;$A22,#REF!,14,0)))</f>
        <v/>
      </c>
      <c r="J22" s="8" t="str">
        <f>IF(IF(ISERROR(VLOOKUP($B$1&amp;$M22&amp;$A22,#REF!,4,0)),"",VLOOKUP($B$1&amp;$M22&amp;$A22,#REF!,4,0))=0,"",IF(ISERROR(VLOOKUP($B$1&amp;$M22&amp;$A22,#REF!,4,0)),"",VLOOKUP($B$1&amp;$M22&amp;$A22,#REF!,4,0)))</f>
        <v/>
      </c>
      <c r="K22" s="9" t="str">
        <f t="shared" si="11"/>
        <v/>
      </c>
      <c r="L22" s="8" t="str">
        <f>IF(IF(ISERROR(VLOOKUP($B$1&amp;$M22&amp;$A22,#REF!,5,0)),"",VLOOKUP($B$1&amp;$M22&amp;$A22,#REF!,5,0))=0,"",IF(ISERROR(VLOOKUP($B$1&amp;$M22&amp;$A22,#REF!,5,0)),"",VLOOKUP($B$1&amp;$M22&amp;$A22,#REF!,5,0)))</f>
        <v/>
      </c>
      <c r="M22" s="6" t="e">
        <f t="shared" si="8"/>
        <v>#REF!</v>
      </c>
    </row>
    <row r="23" spans="1:13" s="7" customFormat="1" ht="15" x14ac:dyDescent="0.35">
      <c r="A23" s="7" t="s">
        <v>16</v>
      </c>
      <c r="B23" s="8" t="str">
        <f>IF(IF(ISERROR(VLOOKUP($B$1&amp;$M23&amp;$A23,#REF!,3,0)),"",VLOOKUP($B$1&amp;$M23&amp;$A23,#REF!,3,0))=0,"",IF(ISERROR(VLOOKUP($B$1&amp;$M23&amp;$A23,#REF!,3,0)),"",VLOOKUP($B$1&amp;$M23&amp;$A23,#REF!,3,0)))</f>
        <v/>
      </c>
      <c r="C23" s="8" t="str">
        <f>IF(IF(ISERROR(VLOOKUP($B$1&amp;$M23&amp;$A23,#REF!,6,0)),"",VLOOKUP($B$1&amp;$M23&amp;$A23,#REF!,6,0))=0,"",IF(ISERROR(VLOOKUP($B$1&amp;$M23&amp;$A23,#REF!,6,0)),"",VLOOKUP($B$1&amp;$M23&amp;$A23,#REF!,6,0)))</f>
        <v/>
      </c>
      <c r="D23" s="8" t="str">
        <f>IF(IF(ISERROR(VLOOKUP($B$1&amp;$M23&amp;$A23,#REF!,11,0)),"",VLOOKUP($B$1&amp;$M23&amp;$A23,#REF!,11,0))=0,"",IF(ISERROR(VLOOKUP($B$1&amp;$M23&amp;$A23,#REF!,11,0)),"",VLOOKUP($B$1&amp;$M23&amp;$A23,#REF!,11,0)))</f>
        <v/>
      </c>
      <c r="E23" s="9" t="str">
        <f t="shared" si="9"/>
        <v/>
      </c>
      <c r="F23" s="8" t="str">
        <f>IF(IF(ISERROR(VLOOKUP($B$1&amp;$M23&amp;$A23,#REF!,12,0)),"",VLOOKUP($B$1&amp;$M23&amp;$A23,#REF!,12,0))=0,"",IF(ISERROR(VLOOKUP($B$1&amp;$M23&amp;$A23,#REF!,12,0)),"",VLOOKUP($B$1&amp;$M23&amp;$A23,#REF!,12,0)))</f>
        <v/>
      </c>
      <c r="G23" s="8" t="str">
        <f>IF(IF(ISERROR(VLOOKUP($B$1&amp;$M23&amp;$A23,#REF!,13,0)),"",VLOOKUP($B$1&amp;$M23&amp;$A23,#REF!,13,0))=0,"",IF(ISERROR(VLOOKUP($B$1&amp;$M23&amp;$A23,#REF!,13,0)),"",VLOOKUP($B$1&amp;$M23&amp;$A23,#REF!,13,0)))</f>
        <v/>
      </c>
      <c r="H23" s="9" t="str">
        <f t="shared" si="10"/>
        <v/>
      </c>
      <c r="I23" s="8" t="str">
        <f>IF(IF(ISERROR(VLOOKUP($B$1&amp;$M23&amp;$A23,#REF!,14,0)),"",VLOOKUP($B$1&amp;$M23&amp;$A23,#REF!,14,0))=0,"",IF(ISERROR(VLOOKUP($B$1&amp;$M23&amp;$A23,#REF!,14,0)),"",VLOOKUP($B$1&amp;$M23&amp;$A23,#REF!,14,0)))</f>
        <v/>
      </c>
      <c r="J23" s="8" t="str">
        <f>IF(IF(ISERROR(VLOOKUP($B$1&amp;$M23&amp;$A23,#REF!,4,0)),"",VLOOKUP($B$1&amp;$M23&amp;$A23,#REF!,4,0))=0,"",IF(ISERROR(VLOOKUP($B$1&amp;$M23&amp;$A23,#REF!,4,0)),"",VLOOKUP($B$1&amp;$M23&amp;$A23,#REF!,4,0)))</f>
        <v/>
      </c>
      <c r="K23" s="9" t="str">
        <f t="shared" si="11"/>
        <v/>
      </c>
      <c r="L23" s="8" t="str">
        <f>IF(IF(ISERROR(VLOOKUP($B$1&amp;$M23&amp;$A23,#REF!,5,0)),"",VLOOKUP($B$1&amp;$M23&amp;$A23,#REF!,5,0))=0,"",IF(ISERROR(VLOOKUP($B$1&amp;$M23&amp;$A23,#REF!,5,0)),"",VLOOKUP($B$1&amp;$M23&amp;$A23,#REF!,5,0)))</f>
        <v/>
      </c>
      <c r="M23" s="6" t="e">
        <f t="shared" si="8"/>
        <v>#REF!</v>
      </c>
    </row>
    <row r="24" spans="1:13" s="7" customFormat="1" ht="15" x14ac:dyDescent="0.35">
      <c r="A24" s="7" t="s">
        <v>19</v>
      </c>
      <c r="B24" s="8" t="str">
        <f>IF(IF(ISERROR(VLOOKUP($B$1&amp;$M24&amp;$A24,#REF!,3,0)),"",VLOOKUP($B$1&amp;$M24&amp;$A24,#REF!,3,0))=0,"",IF(ISERROR(VLOOKUP($B$1&amp;$M24&amp;$A24,#REF!,3,0)),"",VLOOKUP($B$1&amp;$M24&amp;$A24,#REF!,3,0)))</f>
        <v/>
      </c>
      <c r="C24" s="8" t="str">
        <f>IF(IF(ISERROR(VLOOKUP($B$1&amp;$M24&amp;$A24,#REF!,6,0)),"",VLOOKUP($B$1&amp;$M24&amp;$A24,#REF!,6,0))=0,"",IF(ISERROR(VLOOKUP($B$1&amp;$M24&amp;$A24,#REF!,6,0)),"",VLOOKUP($B$1&amp;$M24&amp;$A24,#REF!,6,0)))</f>
        <v/>
      </c>
      <c r="D24" s="8" t="str">
        <f>IF(IF(ISERROR(VLOOKUP($B$1&amp;$M24&amp;$A24,#REF!,11,0)),"",VLOOKUP($B$1&amp;$M24&amp;$A24,#REF!,11,0))=0,"",IF(ISERROR(VLOOKUP($B$1&amp;$M24&amp;$A24,#REF!,11,0)),"",VLOOKUP($B$1&amp;$M24&amp;$A24,#REF!,11,0)))</f>
        <v/>
      </c>
      <c r="E24" s="9" t="str">
        <f t="shared" si="9"/>
        <v/>
      </c>
      <c r="F24" s="8" t="str">
        <f>IF(IF(ISERROR(VLOOKUP($B$1&amp;$M24&amp;$A24,#REF!,12,0)),"",VLOOKUP($B$1&amp;$M24&amp;$A24,#REF!,12,0))=0,"",IF(ISERROR(VLOOKUP($B$1&amp;$M24&amp;$A24,#REF!,12,0)),"",VLOOKUP($B$1&amp;$M24&amp;$A24,#REF!,12,0)))</f>
        <v/>
      </c>
      <c r="G24" s="8" t="str">
        <f>IF(IF(ISERROR(VLOOKUP($B$1&amp;$M24&amp;$A24,#REF!,13,0)),"",VLOOKUP($B$1&amp;$M24&amp;$A24,#REF!,13,0))=0,"",IF(ISERROR(VLOOKUP($B$1&amp;$M24&amp;$A24,#REF!,13,0)),"",VLOOKUP($B$1&amp;$M24&amp;$A24,#REF!,13,0)))</f>
        <v/>
      </c>
      <c r="H24" s="9" t="str">
        <f t="shared" si="10"/>
        <v/>
      </c>
      <c r="I24" s="8" t="str">
        <f>IF(IF(ISERROR(VLOOKUP($B$1&amp;$M24&amp;$A24,#REF!,14,0)),"",VLOOKUP($B$1&amp;$M24&amp;$A24,#REF!,14,0))=0,"",IF(ISERROR(VLOOKUP($B$1&amp;$M24&amp;$A24,#REF!,14,0)),"",VLOOKUP($B$1&amp;$M24&amp;$A24,#REF!,14,0)))</f>
        <v/>
      </c>
      <c r="J24" s="8" t="str">
        <f>IF(IF(ISERROR(VLOOKUP($B$1&amp;$M24&amp;$A24,#REF!,4,0)),"",VLOOKUP($B$1&amp;$M24&amp;$A24,#REF!,4,0))=0,"",IF(ISERROR(VLOOKUP($B$1&amp;$M24&amp;$A24,#REF!,4,0)),"",VLOOKUP($B$1&amp;$M24&amp;$A24,#REF!,4,0)))</f>
        <v/>
      </c>
      <c r="K24" s="9" t="str">
        <f t="shared" si="11"/>
        <v/>
      </c>
      <c r="L24" s="8" t="str">
        <f>IF(IF(ISERROR(VLOOKUP($B$1&amp;$M24&amp;$A24,#REF!,5,0)),"",VLOOKUP($B$1&amp;$M24&amp;$A24,#REF!,5,0))=0,"",IF(ISERROR(VLOOKUP($B$1&amp;$M24&amp;$A24,#REF!,5,0)),"",VLOOKUP($B$1&amp;$M24&amp;$A24,#REF!,5,0)))</f>
        <v/>
      </c>
      <c r="M24" s="6" t="e">
        <f t="shared" si="8"/>
        <v>#REF!</v>
      </c>
    </row>
    <row r="25" spans="1:13" s="7" customFormat="1" ht="15" x14ac:dyDescent="0.35">
      <c r="A25" s="7" t="s">
        <v>20</v>
      </c>
      <c r="B25" s="8" t="str">
        <f>IF(IF(ISERROR(VLOOKUP($B$1&amp;$M25&amp;$A25,#REF!,3,0)),"",VLOOKUP($B$1&amp;$M25&amp;$A25,#REF!,3,0))=0,"",IF(ISERROR(VLOOKUP($B$1&amp;$M25&amp;$A25,#REF!,3,0)),"",VLOOKUP($B$1&amp;$M25&amp;$A25,#REF!,3,0)))</f>
        <v/>
      </c>
      <c r="C25" s="8" t="str">
        <f>IF(IF(ISERROR(VLOOKUP($B$1&amp;$M25&amp;$A25,#REF!,6,0)),"",VLOOKUP($B$1&amp;$M25&amp;$A25,#REF!,6,0))=0,"",IF(ISERROR(VLOOKUP($B$1&amp;$M25&amp;$A25,#REF!,6,0)),"",VLOOKUP($B$1&amp;$M25&amp;$A25,#REF!,6,0)))</f>
        <v/>
      </c>
      <c r="D25" s="8" t="str">
        <f>IF(IF(ISERROR(VLOOKUP($B$1&amp;$M25&amp;$A25,#REF!,11,0)),"",VLOOKUP($B$1&amp;$M25&amp;$A25,#REF!,11,0))=0,"",IF(ISERROR(VLOOKUP($B$1&amp;$M25&amp;$A25,#REF!,11,0)),"",VLOOKUP($B$1&amp;$M25&amp;$A25,#REF!,11,0)))</f>
        <v/>
      </c>
      <c r="E25" s="9" t="str">
        <f t="shared" si="9"/>
        <v/>
      </c>
      <c r="F25" s="8" t="str">
        <f>IF(IF(ISERROR(VLOOKUP($B$1&amp;$M25&amp;$A25,#REF!,12,0)),"",VLOOKUP($B$1&amp;$M25&amp;$A25,#REF!,12,0))=0,"",IF(ISERROR(VLOOKUP($B$1&amp;$M25&amp;$A25,#REF!,12,0)),"",VLOOKUP($B$1&amp;$M25&amp;$A25,#REF!,12,0)))</f>
        <v/>
      </c>
      <c r="G25" s="8" t="str">
        <f>IF(IF(ISERROR(VLOOKUP($B$1&amp;$M25&amp;$A25,#REF!,13,0)),"",VLOOKUP($B$1&amp;$M25&amp;$A25,#REF!,13,0))=0,"",IF(ISERROR(VLOOKUP($B$1&amp;$M25&amp;$A25,#REF!,13,0)),"",VLOOKUP($B$1&amp;$M25&amp;$A25,#REF!,13,0)))</f>
        <v/>
      </c>
      <c r="H25" s="9" t="str">
        <f t="shared" si="10"/>
        <v/>
      </c>
      <c r="I25" s="8" t="str">
        <f>IF(IF(ISERROR(VLOOKUP($B$1&amp;$M25&amp;$A25,#REF!,14,0)),"",VLOOKUP($B$1&amp;$M25&amp;$A25,#REF!,14,0))=0,"",IF(ISERROR(VLOOKUP($B$1&amp;$M25&amp;$A25,#REF!,14,0)),"",VLOOKUP($B$1&amp;$M25&amp;$A25,#REF!,14,0)))</f>
        <v/>
      </c>
      <c r="J25" s="8" t="str">
        <f>IF(IF(ISERROR(VLOOKUP($B$1&amp;$M25&amp;$A25,#REF!,4,0)),"",VLOOKUP($B$1&amp;$M25&amp;$A25,#REF!,4,0))=0,"",IF(ISERROR(VLOOKUP($B$1&amp;$M25&amp;$A25,#REF!,4,0)),"",VLOOKUP($B$1&amp;$M25&amp;$A25,#REF!,4,0)))</f>
        <v/>
      </c>
      <c r="K25" s="9" t="str">
        <f t="shared" si="11"/>
        <v/>
      </c>
      <c r="L25" s="8" t="str">
        <f>IF(IF(ISERROR(VLOOKUP($B$1&amp;$M25&amp;$A25,#REF!,5,0)),"",VLOOKUP($B$1&amp;$M25&amp;$A25,#REF!,5,0))=0,"",IF(ISERROR(VLOOKUP($B$1&amp;$M25&amp;$A25,#REF!,5,0)),"",VLOOKUP($B$1&amp;$M25&amp;$A25,#REF!,5,0)))</f>
        <v/>
      </c>
      <c r="M25" s="6" t="e">
        <f t="shared" si="8"/>
        <v>#REF!</v>
      </c>
    </row>
    <row r="26" spans="1:13" s="7" customFormat="1" ht="15" x14ac:dyDescent="0.35">
      <c r="A26" s="7" t="s">
        <v>23</v>
      </c>
      <c r="B26" s="8" t="str">
        <f>IF(IF(ISERROR(VLOOKUP($B$1&amp;$M26&amp;$A26,#REF!,3,0)),"",VLOOKUP($B$1&amp;$M26&amp;$A26,#REF!,3,0))=0,"",IF(ISERROR(VLOOKUP($B$1&amp;$M26&amp;$A26,#REF!,3,0)),"",VLOOKUP($B$1&amp;$M26&amp;$A26,#REF!,3,0)))</f>
        <v/>
      </c>
      <c r="C26" s="8" t="str">
        <f>IF(IF(ISERROR(VLOOKUP($B$1&amp;$M26&amp;$A26,#REF!,6,0)),"",VLOOKUP($B$1&amp;$M26&amp;$A26,#REF!,6,0))=0,"",IF(ISERROR(VLOOKUP($B$1&amp;$M26&amp;$A26,#REF!,6,0)),"",VLOOKUP($B$1&amp;$M26&amp;$A26,#REF!,6,0)))</f>
        <v/>
      </c>
      <c r="D26" s="8" t="str">
        <f>IF(IF(ISERROR(VLOOKUP($B$1&amp;$M26&amp;$A26,#REF!,11,0)),"",VLOOKUP($B$1&amp;$M26&amp;$A26,#REF!,11,0))=0,"",IF(ISERROR(VLOOKUP($B$1&amp;$M26&amp;$A26,#REF!,11,0)),"",VLOOKUP($B$1&amp;$M26&amp;$A26,#REF!,11,0)))</f>
        <v/>
      </c>
      <c r="E26" s="9" t="str">
        <f t="shared" si="9"/>
        <v/>
      </c>
      <c r="F26" s="8" t="str">
        <f>IF(IF(ISERROR(VLOOKUP($B$1&amp;$M26&amp;$A26,#REF!,12,0)),"",VLOOKUP($B$1&amp;$M26&amp;$A26,#REF!,12,0))=0,"",IF(ISERROR(VLOOKUP($B$1&amp;$M26&amp;$A26,#REF!,12,0)),"",VLOOKUP($B$1&amp;$M26&amp;$A26,#REF!,12,0)))</f>
        <v/>
      </c>
      <c r="G26" s="8" t="str">
        <f>IF(IF(ISERROR(VLOOKUP($B$1&amp;$M26&amp;$A26,#REF!,13,0)),"",VLOOKUP($B$1&amp;$M26&amp;$A26,#REF!,13,0))=0,"",IF(ISERROR(VLOOKUP($B$1&amp;$M26&amp;$A26,#REF!,13,0)),"",VLOOKUP($B$1&amp;$M26&amp;$A26,#REF!,13,0)))</f>
        <v/>
      </c>
      <c r="H26" s="9" t="str">
        <f t="shared" si="10"/>
        <v/>
      </c>
      <c r="I26" s="8" t="str">
        <f>IF(IF(ISERROR(VLOOKUP($B$1&amp;$M26&amp;$A26,#REF!,14,0)),"",VLOOKUP($B$1&amp;$M26&amp;$A26,#REF!,14,0))=0,"",IF(ISERROR(VLOOKUP($B$1&amp;$M26&amp;$A26,#REF!,14,0)),"",VLOOKUP($B$1&amp;$M26&amp;$A26,#REF!,14,0)))</f>
        <v/>
      </c>
      <c r="J26" s="8" t="str">
        <f>IF(IF(ISERROR(VLOOKUP($B$1&amp;$M26&amp;$A26,#REF!,4,0)),"",VLOOKUP($B$1&amp;$M26&amp;$A26,#REF!,4,0))=0,"",IF(ISERROR(VLOOKUP($B$1&amp;$M26&amp;$A26,#REF!,4,0)),"",VLOOKUP($B$1&amp;$M26&amp;$A26,#REF!,4,0)))</f>
        <v/>
      </c>
      <c r="K26" s="9" t="str">
        <f t="shared" si="11"/>
        <v/>
      </c>
      <c r="L26" s="8" t="str">
        <f>IF(IF(ISERROR(VLOOKUP($B$1&amp;$M26&amp;$A26,#REF!,5,0)),"",VLOOKUP($B$1&amp;$M26&amp;$A26,#REF!,5,0))=0,"",IF(ISERROR(VLOOKUP($B$1&amp;$M26&amp;$A26,#REF!,5,0)),"",VLOOKUP($B$1&amp;$M26&amp;$A26,#REF!,5,0)))</f>
        <v/>
      </c>
      <c r="M26" s="6" t="e">
        <f t="shared" si="8"/>
        <v>#REF!</v>
      </c>
    </row>
    <row r="27" spans="1:13" s="4" customFormat="1" ht="21.75" customHeight="1" thickBot="1" x14ac:dyDescent="0.6">
      <c r="A27" s="27" t="e">
        <f>A19+1</f>
        <v>#REF!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" t="e">
        <f>A27</f>
        <v>#REF!</v>
      </c>
    </row>
    <row r="28" spans="1:13" s="5" customFormat="1" ht="17.25" customHeight="1" x14ac:dyDescent="0.3">
      <c r="B28" s="19"/>
      <c r="C28" s="19" t="s">
        <v>10</v>
      </c>
      <c r="D28" s="28" t="s">
        <v>11</v>
      </c>
      <c r="E28" s="28"/>
      <c r="F28" s="28"/>
      <c r="G28" s="28" t="s">
        <v>12</v>
      </c>
      <c r="H28" s="28"/>
      <c r="I28" s="28"/>
      <c r="J28" s="26" t="s">
        <v>3</v>
      </c>
      <c r="K28" s="26"/>
      <c r="L28" s="26"/>
      <c r="M28" s="6" t="e">
        <f t="shared" ref="M28:M34" si="12">M27</f>
        <v>#REF!</v>
      </c>
    </row>
    <row r="29" spans="1:13" s="7" customFormat="1" ht="15" x14ac:dyDescent="0.35">
      <c r="A29" s="7" t="s">
        <v>13</v>
      </c>
      <c r="B29" s="8" t="str">
        <f>IF(IF(ISERROR(VLOOKUP($B$1&amp;$M29&amp;$A29,#REF!,3,0)),"",VLOOKUP($B$1&amp;$M29&amp;$A29,#REF!,3,0))=0,"",IF(ISERROR(VLOOKUP($B$1&amp;$M29&amp;$A29,#REF!,3,0)),"",VLOOKUP($B$1&amp;$M29&amp;$A29,#REF!,3,0)))</f>
        <v/>
      </c>
      <c r="C29" s="8" t="str">
        <f>IF(IF(ISERROR(VLOOKUP($B$1&amp;$M29&amp;$A29,#REF!,6,0)),"",VLOOKUP($B$1&amp;$M29&amp;$A29,#REF!,6,0))=0,"",IF(ISERROR(VLOOKUP($B$1&amp;$M29&amp;$A29,#REF!,6,0)),"",VLOOKUP($B$1&amp;$M29&amp;$A29,#REF!,6,0)))</f>
        <v/>
      </c>
      <c r="D29" s="8" t="str">
        <f>IF(IF(ISERROR(VLOOKUP($B$1&amp;$M29&amp;$A29,#REF!,11,0)),"",VLOOKUP($B$1&amp;$M29&amp;$A29,#REF!,11,0))=0,"",IF(ISERROR(VLOOKUP($B$1&amp;$M29&amp;$A29,#REF!,11,0)),"",VLOOKUP($B$1&amp;$M29&amp;$A29,#REF!,11,0)))</f>
        <v/>
      </c>
      <c r="E29" s="9" t="str">
        <f t="shared" ref="E29:E34" si="13">IF(OR(D29=0,D29=""),""," - ")</f>
        <v/>
      </c>
      <c r="F29" s="8" t="str">
        <f>IF(IF(ISERROR(VLOOKUP($B$1&amp;$M29&amp;$A29,#REF!,12,0)),"",VLOOKUP($B$1&amp;$M29&amp;$A29,#REF!,12,0))=0,"",IF(ISERROR(VLOOKUP($B$1&amp;$M29&amp;$A29,#REF!,12,0)),"",VLOOKUP($B$1&amp;$M29&amp;$A29,#REF!,12,0)))</f>
        <v/>
      </c>
      <c r="G29" s="8" t="str">
        <f>IF(IF(ISERROR(VLOOKUP($B$1&amp;$M29&amp;$A29,#REF!,13,0)),"",VLOOKUP($B$1&amp;$M29&amp;$A29,#REF!,13,0))=0,"",IF(ISERROR(VLOOKUP($B$1&amp;$M29&amp;$A29,#REF!,13,0)),"",VLOOKUP($B$1&amp;$M29&amp;$A29,#REF!,13,0)))</f>
        <v/>
      </c>
      <c r="H29" s="9" t="str">
        <f t="shared" ref="H29:H34" si="14">IF(OR(G29=0,G29=""),""," - ")</f>
        <v/>
      </c>
      <c r="I29" s="8" t="str">
        <f>IF(IF(ISERROR(VLOOKUP($B$1&amp;$M29&amp;$A29,#REF!,14,0)),"",VLOOKUP($B$1&amp;$M29&amp;$A29,#REF!,14,0))=0,"",IF(ISERROR(VLOOKUP($B$1&amp;$M29&amp;$A29,#REF!,14,0)),"",VLOOKUP($B$1&amp;$M29&amp;$A29,#REF!,14,0)))</f>
        <v/>
      </c>
      <c r="J29" s="8" t="str">
        <f>IF(IF(ISERROR(VLOOKUP($B$1&amp;$M29&amp;$A29,#REF!,4,0)),"",VLOOKUP($B$1&amp;$M29&amp;$A29,#REF!,4,0))=0,"",IF(ISERROR(VLOOKUP($B$1&amp;$M29&amp;$A29,#REF!,4,0)),"",VLOOKUP($B$1&amp;$M29&amp;$A29,#REF!,4,0)))</f>
        <v/>
      </c>
      <c r="K29" s="9" t="str">
        <f t="shared" ref="K29:K34" si="15">IF(OR(J29=0,J29=""),""," - ")</f>
        <v/>
      </c>
      <c r="L29" s="8" t="str">
        <f>IF(IF(ISERROR(VLOOKUP($B$1&amp;$M29&amp;$A29,#REF!,5,0)),"",VLOOKUP($B$1&amp;$M29&amp;$A29,#REF!,5,0))=0,"",IF(ISERROR(VLOOKUP($B$1&amp;$M29&amp;$A29,#REF!,5,0)),"",VLOOKUP($B$1&amp;$M29&amp;$A29,#REF!,5,0)))</f>
        <v/>
      </c>
      <c r="M29" s="6" t="e">
        <f t="shared" si="12"/>
        <v>#REF!</v>
      </c>
    </row>
    <row r="30" spans="1:13" s="7" customFormat="1" ht="15" x14ac:dyDescent="0.35">
      <c r="A30" s="7" t="s">
        <v>15</v>
      </c>
      <c r="B30" s="8" t="str">
        <f>IF(IF(ISERROR(VLOOKUP($B$1&amp;$M30&amp;$A30,#REF!,3,0)),"",VLOOKUP($B$1&amp;$M30&amp;$A30,#REF!,3,0))=0,"",IF(ISERROR(VLOOKUP($B$1&amp;$M30&amp;$A30,#REF!,3,0)),"",VLOOKUP($B$1&amp;$M30&amp;$A30,#REF!,3,0)))</f>
        <v/>
      </c>
      <c r="C30" s="8" t="str">
        <f>IF(IF(ISERROR(VLOOKUP($B$1&amp;$M30&amp;$A30,#REF!,6,0)),"",VLOOKUP($B$1&amp;$M30&amp;$A30,#REF!,6,0))=0,"",IF(ISERROR(VLOOKUP($B$1&amp;$M30&amp;$A30,#REF!,6,0)),"",VLOOKUP($B$1&amp;$M30&amp;$A30,#REF!,6,0)))</f>
        <v/>
      </c>
      <c r="D30" s="8" t="str">
        <f>IF(IF(ISERROR(VLOOKUP($B$1&amp;$M30&amp;$A30,#REF!,11,0)),"",VLOOKUP($B$1&amp;$M30&amp;$A30,#REF!,11,0))=0,"",IF(ISERROR(VLOOKUP($B$1&amp;$M30&amp;$A30,#REF!,11,0)),"",VLOOKUP($B$1&amp;$M30&amp;$A30,#REF!,11,0)))</f>
        <v/>
      </c>
      <c r="E30" s="9" t="str">
        <f t="shared" si="13"/>
        <v/>
      </c>
      <c r="F30" s="8" t="str">
        <f>IF(IF(ISERROR(VLOOKUP($B$1&amp;$M30&amp;$A30,#REF!,12,0)),"",VLOOKUP($B$1&amp;$M30&amp;$A30,#REF!,12,0))=0,"",IF(ISERROR(VLOOKUP($B$1&amp;$M30&amp;$A30,#REF!,12,0)),"",VLOOKUP($B$1&amp;$M30&amp;$A30,#REF!,12,0)))</f>
        <v/>
      </c>
      <c r="G30" s="8" t="str">
        <f>IF(IF(ISERROR(VLOOKUP($B$1&amp;$M30&amp;$A30,#REF!,13,0)),"",VLOOKUP($B$1&amp;$M30&amp;$A30,#REF!,13,0))=0,"",IF(ISERROR(VLOOKUP($B$1&amp;$M30&amp;$A30,#REF!,13,0)),"",VLOOKUP($B$1&amp;$M30&amp;$A30,#REF!,13,0)))</f>
        <v/>
      </c>
      <c r="H30" s="9" t="str">
        <f t="shared" si="14"/>
        <v/>
      </c>
      <c r="I30" s="8" t="str">
        <f>IF(IF(ISERROR(VLOOKUP($B$1&amp;$M30&amp;$A30,#REF!,14,0)),"",VLOOKUP($B$1&amp;$M30&amp;$A30,#REF!,14,0))=0,"",IF(ISERROR(VLOOKUP($B$1&amp;$M30&amp;$A30,#REF!,14,0)),"",VLOOKUP($B$1&amp;$M30&amp;$A30,#REF!,14,0)))</f>
        <v/>
      </c>
      <c r="J30" s="8" t="str">
        <f>IF(IF(ISERROR(VLOOKUP($B$1&amp;$M30&amp;$A30,#REF!,4,0)),"",VLOOKUP($B$1&amp;$M30&amp;$A30,#REF!,4,0))=0,"",IF(ISERROR(VLOOKUP($B$1&amp;$M30&amp;$A30,#REF!,4,0)),"",VLOOKUP($B$1&amp;$M30&amp;$A30,#REF!,4,0)))</f>
        <v/>
      </c>
      <c r="K30" s="9" t="str">
        <f t="shared" si="15"/>
        <v/>
      </c>
      <c r="L30" s="8" t="str">
        <f>IF(IF(ISERROR(VLOOKUP($B$1&amp;$M30&amp;$A30,#REF!,5,0)),"",VLOOKUP($B$1&amp;$M30&amp;$A30,#REF!,5,0))=0,"",IF(ISERROR(VLOOKUP($B$1&amp;$M30&amp;$A30,#REF!,5,0)),"",VLOOKUP($B$1&amp;$M30&amp;$A30,#REF!,5,0)))</f>
        <v/>
      </c>
      <c r="M30" s="6" t="e">
        <f t="shared" si="12"/>
        <v>#REF!</v>
      </c>
    </row>
    <row r="31" spans="1:13" s="7" customFormat="1" ht="15" x14ac:dyDescent="0.35">
      <c r="A31" s="7" t="s">
        <v>16</v>
      </c>
      <c r="B31" s="8" t="str">
        <f>IF(IF(ISERROR(VLOOKUP($B$1&amp;$M31&amp;$A31,#REF!,3,0)),"",VLOOKUP($B$1&amp;$M31&amp;$A31,#REF!,3,0))=0,"",IF(ISERROR(VLOOKUP($B$1&amp;$M31&amp;$A31,#REF!,3,0)),"",VLOOKUP($B$1&amp;$M31&amp;$A31,#REF!,3,0)))</f>
        <v/>
      </c>
      <c r="C31" s="8" t="str">
        <f>IF(IF(ISERROR(VLOOKUP($B$1&amp;$M31&amp;$A31,#REF!,6,0)),"",VLOOKUP($B$1&amp;$M31&amp;$A31,#REF!,6,0))=0,"",IF(ISERROR(VLOOKUP($B$1&amp;$M31&amp;$A31,#REF!,6,0)),"",VLOOKUP($B$1&amp;$M31&amp;$A31,#REF!,6,0)))</f>
        <v/>
      </c>
      <c r="D31" s="8" t="str">
        <f>IF(IF(ISERROR(VLOOKUP($B$1&amp;$M31&amp;$A31,#REF!,11,0)),"",VLOOKUP($B$1&amp;$M31&amp;$A31,#REF!,11,0))=0,"",IF(ISERROR(VLOOKUP($B$1&amp;$M31&amp;$A31,#REF!,11,0)),"",VLOOKUP($B$1&amp;$M31&amp;$A31,#REF!,11,0)))</f>
        <v/>
      </c>
      <c r="E31" s="9" t="str">
        <f t="shared" si="13"/>
        <v/>
      </c>
      <c r="F31" s="8" t="str">
        <f>IF(IF(ISERROR(VLOOKUP($B$1&amp;$M31&amp;$A31,#REF!,12,0)),"",VLOOKUP($B$1&amp;$M31&amp;$A31,#REF!,12,0))=0,"",IF(ISERROR(VLOOKUP($B$1&amp;$M31&amp;$A31,#REF!,12,0)),"",VLOOKUP($B$1&amp;$M31&amp;$A31,#REF!,12,0)))</f>
        <v/>
      </c>
      <c r="G31" s="8" t="str">
        <f>IF(IF(ISERROR(VLOOKUP($B$1&amp;$M31&amp;$A31,#REF!,13,0)),"",VLOOKUP($B$1&amp;$M31&amp;$A31,#REF!,13,0))=0,"",IF(ISERROR(VLOOKUP($B$1&amp;$M31&amp;$A31,#REF!,13,0)),"",VLOOKUP($B$1&amp;$M31&amp;$A31,#REF!,13,0)))</f>
        <v/>
      </c>
      <c r="H31" s="9" t="str">
        <f t="shared" si="14"/>
        <v/>
      </c>
      <c r="I31" s="8" t="str">
        <f>IF(IF(ISERROR(VLOOKUP($B$1&amp;$M31&amp;$A31,#REF!,14,0)),"",VLOOKUP($B$1&amp;$M31&amp;$A31,#REF!,14,0))=0,"",IF(ISERROR(VLOOKUP($B$1&amp;$M31&amp;$A31,#REF!,14,0)),"",VLOOKUP($B$1&amp;$M31&amp;$A31,#REF!,14,0)))</f>
        <v/>
      </c>
      <c r="J31" s="8" t="str">
        <f>IF(IF(ISERROR(VLOOKUP($B$1&amp;$M31&amp;$A31,#REF!,4,0)),"",VLOOKUP($B$1&amp;$M31&amp;$A31,#REF!,4,0))=0,"",IF(ISERROR(VLOOKUP($B$1&amp;$M31&amp;$A31,#REF!,4,0)),"",VLOOKUP($B$1&amp;$M31&amp;$A31,#REF!,4,0)))</f>
        <v/>
      </c>
      <c r="K31" s="9" t="str">
        <f t="shared" si="15"/>
        <v/>
      </c>
      <c r="L31" s="8" t="str">
        <f>IF(IF(ISERROR(VLOOKUP($B$1&amp;$M31&amp;$A31,#REF!,5,0)),"",VLOOKUP($B$1&amp;$M31&amp;$A31,#REF!,5,0))=0,"",IF(ISERROR(VLOOKUP($B$1&amp;$M31&amp;$A31,#REF!,5,0)),"",VLOOKUP($B$1&amp;$M31&amp;$A31,#REF!,5,0)))</f>
        <v/>
      </c>
      <c r="M31" s="6" t="e">
        <f t="shared" si="12"/>
        <v>#REF!</v>
      </c>
    </row>
    <row r="32" spans="1:13" s="7" customFormat="1" ht="15" x14ac:dyDescent="0.35">
      <c r="A32" s="7" t="s">
        <v>19</v>
      </c>
      <c r="B32" s="8" t="str">
        <f>IF(IF(ISERROR(VLOOKUP($B$1&amp;$M32&amp;$A32,#REF!,3,0)),"",VLOOKUP($B$1&amp;$M32&amp;$A32,#REF!,3,0))=0,"",IF(ISERROR(VLOOKUP($B$1&amp;$M32&amp;$A32,#REF!,3,0)),"",VLOOKUP($B$1&amp;$M32&amp;$A32,#REF!,3,0)))</f>
        <v/>
      </c>
      <c r="C32" s="8" t="str">
        <f>IF(IF(ISERROR(VLOOKUP($B$1&amp;$M32&amp;$A32,#REF!,6,0)),"",VLOOKUP($B$1&amp;$M32&amp;$A32,#REF!,6,0))=0,"",IF(ISERROR(VLOOKUP($B$1&amp;$M32&amp;$A32,#REF!,6,0)),"",VLOOKUP($B$1&amp;$M32&amp;$A32,#REF!,6,0)))</f>
        <v/>
      </c>
      <c r="D32" s="8" t="str">
        <f>IF(IF(ISERROR(VLOOKUP($B$1&amp;$M32&amp;$A32,#REF!,11,0)),"",VLOOKUP($B$1&amp;$M32&amp;$A32,#REF!,11,0))=0,"",IF(ISERROR(VLOOKUP($B$1&amp;$M32&amp;$A32,#REF!,11,0)),"",VLOOKUP($B$1&amp;$M32&amp;$A32,#REF!,11,0)))</f>
        <v/>
      </c>
      <c r="E32" s="9" t="str">
        <f t="shared" si="13"/>
        <v/>
      </c>
      <c r="F32" s="8" t="str">
        <f>IF(IF(ISERROR(VLOOKUP($B$1&amp;$M32&amp;$A32,#REF!,12,0)),"",VLOOKUP($B$1&amp;$M32&amp;$A32,#REF!,12,0))=0,"",IF(ISERROR(VLOOKUP($B$1&amp;$M32&amp;$A32,#REF!,12,0)),"",VLOOKUP($B$1&amp;$M32&amp;$A32,#REF!,12,0)))</f>
        <v/>
      </c>
      <c r="G32" s="8" t="str">
        <f>IF(IF(ISERROR(VLOOKUP($B$1&amp;$M32&amp;$A32,#REF!,13,0)),"",VLOOKUP($B$1&amp;$M32&amp;$A32,#REF!,13,0))=0,"",IF(ISERROR(VLOOKUP($B$1&amp;$M32&amp;$A32,#REF!,13,0)),"",VLOOKUP($B$1&amp;$M32&amp;$A32,#REF!,13,0)))</f>
        <v/>
      </c>
      <c r="H32" s="9" t="str">
        <f t="shared" si="14"/>
        <v/>
      </c>
      <c r="I32" s="8" t="str">
        <f>IF(IF(ISERROR(VLOOKUP($B$1&amp;$M32&amp;$A32,#REF!,14,0)),"",VLOOKUP($B$1&amp;$M32&amp;$A32,#REF!,14,0))=0,"",IF(ISERROR(VLOOKUP($B$1&amp;$M32&amp;$A32,#REF!,14,0)),"",VLOOKUP($B$1&amp;$M32&amp;$A32,#REF!,14,0)))</f>
        <v/>
      </c>
      <c r="J32" s="8" t="str">
        <f>IF(IF(ISERROR(VLOOKUP($B$1&amp;$M32&amp;$A32,#REF!,4,0)),"",VLOOKUP($B$1&amp;$M32&amp;$A32,#REF!,4,0))=0,"",IF(ISERROR(VLOOKUP($B$1&amp;$M32&amp;$A32,#REF!,4,0)),"",VLOOKUP($B$1&amp;$M32&amp;$A32,#REF!,4,0)))</f>
        <v/>
      </c>
      <c r="K32" s="9" t="str">
        <f t="shared" si="15"/>
        <v/>
      </c>
      <c r="L32" s="8" t="str">
        <f>IF(IF(ISERROR(VLOOKUP($B$1&amp;$M32&amp;$A32,#REF!,5,0)),"",VLOOKUP($B$1&amp;$M32&amp;$A32,#REF!,5,0))=0,"",IF(ISERROR(VLOOKUP($B$1&amp;$M32&amp;$A32,#REF!,5,0)),"",VLOOKUP($B$1&amp;$M32&amp;$A32,#REF!,5,0)))</f>
        <v/>
      </c>
      <c r="M32" s="6" t="e">
        <f t="shared" si="12"/>
        <v>#REF!</v>
      </c>
    </row>
    <row r="33" spans="1:13" s="7" customFormat="1" ht="15" x14ac:dyDescent="0.35">
      <c r="A33" s="7" t="s">
        <v>20</v>
      </c>
      <c r="B33" s="8" t="str">
        <f>IF(IF(ISERROR(VLOOKUP($B$1&amp;$M33&amp;$A33,#REF!,3,0)),"",VLOOKUP($B$1&amp;$M33&amp;$A33,#REF!,3,0))=0,"",IF(ISERROR(VLOOKUP($B$1&amp;$M33&amp;$A33,#REF!,3,0)),"",VLOOKUP($B$1&amp;$M33&amp;$A33,#REF!,3,0)))</f>
        <v/>
      </c>
      <c r="C33" s="8" t="str">
        <f>IF(IF(ISERROR(VLOOKUP($B$1&amp;$M33&amp;$A33,#REF!,6,0)),"",VLOOKUP($B$1&amp;$M33&amp;$A33,#REF!,6,0))=0,"",IF(ISERROR(VLOOKUP($B$1&amp;$M33&amp;$A33,#REF!,6,0)),"",VLOOKUP($B$1&amp;$M33&amp;$A33,#REF!,6,0)))</f>
        <v/>
      </c>
      <c r="D33" s="8" t="str">
        <f>IF(IF(ISERROR(VLOOKUP($B$1&amp;$M33&amp;$A33,#REF!,11,0)),"",VLOOKUP($B$1&amp;$M33&amp;$A33,#REF!,11,0))=0,"",IF(ISERROR(VLOOKUP($B$1&amp;$M33&amp;$A33,#REF!,11,0)),"",VLOOKUP($B$1&amp;$M33&amp;$A33,#REF!,11,0)))</f>
        <v/>
      </c>
      <c r="E33" s="9" t="str">
        <f t="shared" si="13"/>
        <v/>
      </c>
      <c r="F33" s="8" t="str">
        <f>IF(IF(ISERROR(VLOOKUP($B$1&amp;$M33&amp;$A33,#REF!,12,0)),"",VLOOKUP($B$1&amp;$M33&amp;$A33,#REF!,12,0))=0,"",IF(ISERROR(VLOOKUP($B$1&amp;$M33&amp;$A33,#REF!,12,0)),"",VLOOKUP($B$1&amp;$M33&amp;$A33,#REF!,12,0)))</f>
        <v/>
      </c>
      <c r="G33" s="8" t="str">
        <f>IF(IF(ISERROR(VLOOKUP($B$1&amp;$M33&amp;$A33,#REF!,13,0)),"",VLOOKUP($B$1&amp;$M33&amp;$A33,#REF!,13,0))=0,"",IF(ISERROR(VLOOKUP($B$1&amp;$M33&amp;$A33,#REF!,13,0)),"",VLOOKUP($B$1&amp;$M33&amp;$A33,#REF!,13,0)))</f>
        <v/>
      </c>
      <c r="H33" s="9" t="str">
        <f t="shared" si="14"/>
        <v/>
      </c>
      <c r="I33" s="8" t="str">
        <f>IF(IF(ISERROR(VLOOKUP($B$1&amp;$M33&amp;$A33,#REF!,14,0)),"",VLOOKUP($B$1&amp;$M33&amp;$A33,#REF!,14,0))=0,"",IF(ISERROR(VLOOKUP($B$1&amp;$M33&amp;$A33,#REF!,14,0)),"",VLOOKUP($B$1&amp;$M33&amp;$A33,#REF!,14,0)))</f>
        <v/>
      </c>
      <c r="J33" s="8" t="str">
        <f>IF(IF(ISERROR(VLOOKUP($B$1&amp;$M33&amp;$A33,#REF!,4,0)),"",VLOOKUP($B$1&amp;$M33&amp;$A33,#REF!,4,0))=0,"",IF(ISERROR(VLOOKUP($B$1&amp;$M33&amp;$A33,#REF!,4,0)),"",VLOOKUP($B$1&amp;$M33&amp;$A33,#REF!,4,0)))</f>
        <v/>
      </c>
      <c r="K33" s="9" t="str">
        <f t="shared" si="15"/>
        <v/>
      </c>
      <c r="L33" s="8" t="str">
        <f>IF(IF(ISERROR(VLOOKUP($B$1&amp;$M33&amp;$A33,#REF!,5,0)),"",VLOOKUP($B$1&amp;$M33&amp;$A33,#REF!,5,0))=0,"",IF(ISERROR(VLOOKUP($B$1&amp;$M33&amp;$A33,#REF!,5,0)),"",VLOOKUP($B$1&amp;$M33&amp;$A33,#REF!,5,0)))</f>
        <v/>
      </c>
      <c r="M33" s="6" t="e">
        <f t="shared" si="12"/>
        <v>#REF!</v>
      </c>
    </row>
    <row r="34" spans="1:13" s="7" customFormat="1" ht="15" x14ac:dyDescent="0.35">
      <c r="A34" s="7" t="s">
        <v>23</v>
      </c>
      <c r="B34" s="8" t="str">
        <f>IF(IF(ISERROR(VLOOKUP($B$1&amp;$M34&amp;$A34,#REF!,3,0)),"",VLOOKUP($B$1&amp;$M34&amp;$A34,#REF!,3,0))=0,"",IF(ISERROR(VLOOKUP($B$1&amp;$M34&amp;$A34,#REF!,3,0)),"",VLOOKUP($B$1&amp;$M34&amp;$A34,#REF!,3,0)))</f>
        <v/>
      </c>
      <c r="C34" s="8" t="str">
        <f>IF(IF(ISERROR(VLOOKUP($B$1&amp;$M34&amp;$A34,#REF!,6,0)),"",VLOOKUP($B$1&amp;$M34&amp;$A34,#REF!,6,0))=0,"",IF(ISERROR(VLOOKUP($B$1&amp;$M34&amp;$A34,#REF!,6,0)),"",VLOOKUP($B$1&amp;$M34&amp;$A34,#REF!,6,0)))</f>
        <v/>
      </c>
      <c r="D34" s="8" t="str">
        <f>IF(IF(ISERROR(VLOOKUP($B$1&amp;$M34&amp;$A34,#REF!,11,0)),"",VLOOKUP($B$1&amp;$M34&amp;$A34,#REF!,11,0))=0,"",IF(ISERROR(VLOOKUP($B$1&amp;$M34&amp;$A34,#REF!,11,0)),"",VLOOKUP($B$1&amp;$M34&amp;$A34,#REF!,11,0)))</f>
        <v/>
      </c>
      <c r="E34" s="9" t="str">
        <f t="shared" si="13"/>
        <v/>
      </c>
      <c r="F34" s="8" t="str">
        <f>IF(IF(ISERROR(VLOOKUP($B$1&amp;$M34&amp;$A34,#REF!,12,0)),"",VLOOKUP($B$1&amp;$M34&amp;$A34,#REF!,12,0))=0,"",IF(ISERROR(VLOOKUP($B$1&amp;$M34&amp;$A34,#REF!,12,0)),"",VLOOKUP($B$1&amp;$M34&amp;$A34,#REF!,12,0)))</f>
        <v/>
      </c>
      <c r="G34" s="8" t="str">
        <f>IF(IF(ISERROR(VLOOKUP($B$1&amp;$M34&amp;$A34,#REF!,13,0)),"",VLOOKUP($B$1&amp;$M34&amp;$A34,#REF!,13,0))=0,"",IF(ISERROR(VLOOKUP($B$1&amp;$M34&amp;$A34,#REF!,13,0)),"",VLOOKUP($B$1&amp;$M34&amp;$A34,#REF!,13,0)))</f>
        <v/>
      </c>
      <c r="H34" s="9" t="str">
        <f t="shared" si="14"/>
        <v/>
      </c>
      <c r="I34" s="8" t="str">
        <f>IF(IF(ISERROR(VLOOKUP($B$1&amp;$M34&amp;$A34,#REF!,14,0)),"",VLOOKUP($B$1&amp;$M34&amp;$A34,#REF!,14,0))=0,"",IF(ISERROR(VLOOKUP($B$1&amp;$M34&amp;$A34,#REF!,14,0)),"",VLOOKUP($B$1&amp;$M34&amp;$A34,#REF!,14,0)))</f>
        <v/>
      </c>
      <c r="J34" s="8" t="str">
        <f>IF(IF(ISERROR(VLOOKUP($B$1&amp;$M34&amp;$A34,#REF!,4,0)),"",VLOOKUP($B$1&amp;$M34&amp;$A34,#REF!,4,0))=0,"",IF(ISERROR(VLOOKUP($B$1&amp;$M34&amp;$A34,#REF!,4,0)),"",VLOOKUP($B$1&amp;$M34&amp;$A34,#REF!,4,0)))</f>
        <v/>
      </c>
      <c r="K34" s="9" t="str">
        <f t="shared" si="15"/>
        <v/>
      </c>
      <c r="L34" s="8" t="str">
        <f>IF(IF(ISERROR(VLOOKUP($B$1&amp;$M34&amp;$A34,#REF!,5,0)),"",VLOOKUP($B$1&amp;$M34&amp;$A34,#REF!,5,0))=0,"",IF(ISERROR(VLOOKUP($B$1&amp;$M34&amp;$A34,#REF!,5,0)),"",VLOOKUP($B$1&amp;$M34&amp;$A34,#REF!,5,0)))</f>
        <v/>
      </c>
      <c r="M34" s="6" t="e">
        <f t="shared" si="12"/>
        <v>#REF!</v>
      </c>
    </row>
    <row r="35" spans="1:13" s="4" customFormat="1" ht="21.75" customHeight="1" thickBot="1" x14ac:dyDescent="0.6">
      <c r="A35" s="27" t="e">
        <f>A27+1</f>
        <v>#REF!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3" t="e">
        <f>A35</f>
        <v>#REF!</v>
      </c>
    </row>
    <row r="36" spans="1:13" s="5" customFormat="1" ht="17.25" customHeight="1" x14ac:dyDescent="0.3">
      <c r="B36" s="19"/>
      <c r="C36" s="19" t="s">
        <v>10</v>
      </c>
      <c r="D36" s="28" t="s">
        <v>11</v>
      </c>
      <c r="E36" s="28"/>
      <c r="F36" s="28"/>
      <c r="G36" s="28" t="s">
        <v>12</v>
      </c>
      <c r="H36" s="28"/>
      <c r="I36" s="28"/>
      <c r="J36" s="26" t="s">
        <v>3</v>
      </c>
      <c r="K36" s="26"/>
      <c r="L36" s="26"/>
      <c r="M36" s="6" t="e">
        <f t="shared" ref="M36:M42" si="16">M35</f>
        <v>#REF!</v>
      </c>
    </row>
    <row r="37" spans="1:13" s="7" customFormat="1" ht="15" x14ac:dyDescent="0.35">
      <c r="A37" s="7" t="s">
        <v>13</v>
      </c>
      <c r="B37" s="8" t="str">
        <f>IF(IF(ISERROR(VLOOKUP($B$1&amp;$M37&amp;$A37,#REF!,3,0)),"",VLOOKUP($B$1&amp;$M37&amp;$A37,#REF!,3,0))=0,"",IF(ISERROR(VLOOKUP($B$1&amp;$M37&amp;$A37,#REF!,3,0)),"",VLOOKUP($B$1&amp;$M37&amp;$A37,#REF!,3,0)))</f>
        <v/>
      </c>
      <c r="C37" s="8" t="str">
        <f>IF(IF(ISERROR(VLOOKUP($B$1&amp;$M37&amp;$A37,#REF!,6,0)),"",VLOOKUP($B$1&amp;$M37&amp;$A37,#REF!,6,0))=0,"",IF(ISERROR(VLOOKUP($B$1&amp;$M37&amp;$A37,#REF!,6,0)),"",VLOOKUP($B$1&amp;$M37&amp;$A37,#REF!,6,0)))</f>
        <v/>
      </c>
      <c r="D37" s="8" t="str">
        <f>IF(IF(ISERROR(VLOOKUP($B$1&amp;$M37&amp;$A37,#REF!,11,0)),"",VLOOKUP($B$1&amp;$M37&amp;$A37,#REF!,11,0))=0,"",IF(ISERROR(VLOOKUP($B$1&amp;$M37&amp;$A37,#REF!,11,0)),"",VLOOKUP($B$1&amp;$M37&amp;$A37,#REF!,11,0)))</f>
        <v/>
      </c>
      <c r="E37" s="9" t="str">
        <f t="shared" ref="E37:E42" si="17">IF(OR(D37=0,D37=""),""," - ")</f>
        <v/>
      </c>
      <c r="F37" s="8" t="str">
        <f>IF(IF(ISERROR(VLOOKUP($B$1&amp;$M37&amp;$A37,#REF!,12,0)),"",VLOOKUP($B$1&amp;$M37&amp;$A37,#REF!,12,0))=0,"",IF(ISERROR(VLOOKUP($B$1&amp;$M37&amp;$A37,#REF!,12,0)),"",VLOOKUP($B$1&amp;$M37&amp;$A37,#REF!,12,0)))</f>
        <v/>
      </c>
      <c r="G37" s="8" t="str">
        <f>IF(IF(ISERROR(VLOOKUP($B$1&amp;$M37&amp;$A37,#REF!,13,0)),"",VLOOKUP($B$1&amp;$M37&amp;$A37,#REF!,13,0))=0,"",IF(ISERROR(VLOOKUP($B$1&amp;$M37&amp;$A37,#REF!,13,0)),"",VLOOKUP($B$1&amp;$M37&amp;$A37,#REF!,13,0)))</f>
        <v/>
      </c>
      <c r="H37" s="9" t="str">
        <f t="shared" ref="H37:H42" si="18">IF(OR(G37=0,G37=""),""," - ")</f>
        <v/>
      </c>
      <c r="I37" s="8" t="str">
        <f>IF(IF(ISERROR(VLOOKUP($B$1&amp;$M37&amp;$A37,#REF!,14,0)),"",VLOOKUP($B$1&amp;$M37&amp;$A37,#REF!,14,0))=0,"",IF(ISERROR(VLOOKUP($B$1&amp;$M37&amp;$A37,#REF!,14,0)),"",VLOOKUP($B$1&amp;$M37&amp;$A37,#REF!,14,0)))</f>
        <v/>
      </c>
      <c r="J37" s="8" t="str">
        <f>IF(IF(ISERROR(VLOOKUP($B$1&amp;$M37&amp;$A37,#REF!,4,0)),"",VLOOKUP($B$1&amp;$M37&amp;$A37,#REF!,4,0))=0,"",IF(ISERROR(VLOOKUP($B$1&amp;$M37&amp;$A37,#REF!,4,0)),"",VLOOKUP($B$1&amp;$M37&amp;$A37,#REF!,4,0)))</f>
        <v/>
      </c>
      <c r="K37" s="9" t="str">
        <f t="shared" ref="K37:K42" si="19">IF(OR(J37=0,J37=""),""," - ")</f>
        <v/>
      </c>
      <c r="L37" s="8" t="str">
        <f>IF(IF(ISERROR(VLOOKUP($B$1&amp;$M37&amp;$A37,#REF!,5,0)),"",VLOOKUP($B$1&amp;$M37&amp;$A37,#REF!,5,0))=0,"",IF(ISERROR(VLOOKUP($B$1&amp;$M37&amp;$A37,#REF!,5,0)),"",VLOOKUP($B$1&amp;$M37&amp;$A37,#REF!,5,0)))</f>
        <v/>
      </c>
      <c r="M37" s="6" t="e">
        <f t="shared" si="16"/>
        <v>#REF!</v>
      </c>
    </row>
    <row r="38" spans="1:13" s="7" customFormat="1" ht="15" x14ac:dyDescent="0.35">
      <c r="A38" s="7" t="s">
        <v>15</v>
      </c>
      <c r="B38" s="8" t="str">
        <f>IF(IF(ISERROR(VLOOKUP($B$1&amp;$M38&amp;$A38,#REF!,3,0)),"",VLOOKUP($B$1&amp;$M38&amp;$A38,#REF!,3,0))=0,"",IF(ISERROR(VLOOKUP($B$1&amp;$M38&amp;$A38,#REF!,3,0)),"",VLOOKUP($B$1&amp;$M38&amp;$A38,#REF!,3,0)))</f>
        <v/>
      </c>
      <c r="C38" s="8" t="str">
        <f>IF(IF(ISERROR(VLOOKUP($B$1&amp;$M38&amp;$A38,#REF!,6,0)),"",VLOOKUP($B$1&amp;$M38&amp;$A38,#REF!,6,0))=0,"",IF(ISERROR(VLOOKUP($B$1&amp;$M38&amp;$A38,#REF!,6,0)),"",VLOOKUP($B$1&amp;$M38&amp;$A38,#REF!,6,0)))</f>
        <v/>
      </c>
      <c r="D38" s="8" t="str">
        <f>IF(IF(ISERROR(VLOOKUP($B$1&amp;$M38&amp;$A38,#REF!,11,0)),"",VLOOKUP($B$1&amp;$M38&amp;$A38,#REF!,11,0))=0,"",IF(ISERROR(VLOOKUP($B$1&amp;$M38&amp;$A38,#REF!,11,0)),"",VLOOKUP($B$1&amp;$M38&amp;$A38,#REF!,11,0)))</f>
        <v/>
      </c>
      <c r="E38" s="9" t="str">
        <f t="shared" si="17"/>
        <v/>
      </c>
      <c r="F38" s="8" t="str">
        <f>IF(IF(ISERROR(VLOOKUP($B$1&amp;$M38&amp;$A38,#REF!,12,0)),"",VLOOKUP($B$1&amp;$M38&amp;$A38,#REF!,12,0))=0,"",IF(ISERROR(VLOOKUP($B$1&amp;$M38&amp;$A38,#REF!,12,0)),"",VLOOKUP($B$1&amp;$M38&amp;$A38,#REF!,12,0)))</f>
        <v/>
      </c>
      <c r="G38" s="8" t="str">
        <f>IF(IF(ISERROR(VLOOKUP($B$1&amp;$M38&amp;$A38,#REF!,13,0)),"",VLOOKUP($B$1&amp;$M38&amp;$A38,#REF!,13,0))=0,"",IF(ISERROR(VLOOKUP($B$1&amp;$M38&amp;$A38,#REF!,13,0)),"",VLOOKUP($B$1&amp;$M38&amp;$A38,#REF!,13,0)))</f>
        <v/>
      </c>
      <c r="H38" s="9" t="str">
        <f t="shared" si="18"/>
        <v/>
      </c>
      <c r="I38" s="8" t="str">
        <f>IF(IF(ISERROR(VLOOKUP($B$1&amp;$M38&amp;$A38,#REF!,14,0)),"",VLOOKUP($B$1&amp;$M38&amp;$A38,#REF!,14,0))=0,"",IF(ISERROR(VLOOKUP($B$1&amp;$M38&amp;$A38,#REF!,14,0)),"",VLOOKUP($B$1&amp;$M38&amp;$A38,#REF!,14,0)))</f>
        <v/>
      </c>
      <c r="J38" s="8" t="str">
        <f>IF(IF(ISERROR(VLOOKUP($B$1&amp;$M38&amp;$A38,#REF!,4,0)),"",VLOOKUP($B$1&amp;$M38&amp;$A38,#REF!,4,0))=0,"",IF(ISERROR(VLOOKUP($B$1&amp;$M38&amp;$A38,#REF!,4,0)),"",VLOOKUP($B$1&amp;$M38&amp;$A38,#REF!,4,0)))</f>
        <v/>
      </c>
      <c r="K38" s="9" t="str">
        <f t="shared" si="19"/>
        <v/>
      </c>
      <c r="L38" s="8" t="str">
        <f>IF(IF(ISERROR(VLOOKUP($B$1&amp;$M38&amp;$A38,#REF!,5,0)),"",VLOOKUP($B$1&amp;$M38&amp;$A38,#REF!,5,0))=0,"",IF(ISERROR(VLOOKUP($B$1&amp;$M38&amp;$A38,#REF!,5,0)),"",VLOOKUP($B$1&amp;$M38&amp;$A38,#REF!,5,0)))</f>
        <v/>
      </c>
      <c r="M38" s="6" t="e">
        <f t="shared" si="16"/>
        <v>#REF!</v>
      </c>
    </row>
    <row r="39" spans="1:13" s="7" customFormat="1" ht="15" x14ac:dyDescent="0.35">
      <c r="A39" s="7" t="s">
        <v>16</v>
      </c>
      <c r="B39" s="8" t="str">
        <f>IF(IF(ISERROR(VLOOKUP($B$1&amp;$M39&amp;$A39,#REF!,3,0)),"",VLOOKUP($B$1&amp;$M39&amp;$A39,#REF!,3,0))=0,"",IF(ISERROR(VLOOKUP($B$1&amp;$M39&amp;$A39,#REF!,3,0)),"",VLOOKUP($B$1&amp;$M39&amp;$A39,#REF!,3,0)))</f>
        <v/>
      </c>
      <c r="C39" s="8" t="str">
        <f>IF(IF(ISERROR(VLOOKUP($B$1&amp;$M39&amp;$A39,#REF!,6,0)),"",VLOOKUP($B$1&amp;$M39&amp;$A39,#REF!,6,0))=0,"",IF(ISERROR(VLOOKUP($B$1&amp;$M39&amp;$A39,#REF!,6,0)),"",VLOOKUP($B$1&amp;$M39&amp;$A39,#REF!,6,0)))</f>
        <v/>
      </c>
      <c r="D39" s="8" t="str">
        <f>IF(IF(ISERROR(VLOOKUP($B$1&amp;$M39&amp;$A39,#REF!,11,0)),"",VLOOKUP($B$1&amp;$M39&amp;$A39,#REF!,11,0))=0,"",IF(ISERROR(VLOOKUP($B$1&amp;$M39&amp;$A39,#REF!,11,0)),"",VLOOKUP($B$1&amp;$M39&amp;$A39,#REF!,11,0)))</f>
        <v/>
      </c>
      <c r="E39" s="9" t="str">
        <f t="shared" si="17"/>
        <v/>
      </c>
      <c r="F39" s="8" t="str">
        <f>IF(IF(ISERROR(VLOOKUP($B$1&amp;$M39&amp;$A39,#REF!,12,0)),"",VLOOKUP($B$1&amp;$M39&amp;$A39,#REF!,12,0))=0,"",IF(ISERROR(VLOOKUP($B$1&amp;$M39&amp;$A39,#REF!,12,0)),"",VLOOKUP($B$1&amp;$M39&amp;$A39,#REF!,12,0)))</f>
        <v/>
      </c>
      <c r="G39" s="8" t="str">
        <f>IF(IF(ISERROR(VLOOKUP($B$1&amp;$M39&amp;$A39,#REF!,13,0)),"",VLOOKUP($B$1&amp;$M39&amp;$A39,#REF!,13,0))=0,"",IF(ISERROR(VLOOKUP($B$1&amp;$M39&amp;$A39,#REF!,13,0)),"",VLOOKUP($B$1&amp;$M39&amp;$A39,#REF!,13,0)))</f>
        <v/>
      </c>
      <c r="H39" s="9" t="str">
        <f t="shared" si="18"/>
        <v/>
      </c>
      <c r="I39" s="8" t="str">
        <f>IF(IF(ISERROR(VLOOKUP($B$1&amp;$M39&amp;$A39,#REF!,14,0)),"",VLOOKUP($B$1&amp;$M39&amp;$A39,#REF!,14,0))=0,"",IF(ISERROR(VLOOKUP($B$1&amp;$M39&amp;$A39,#REF!,14,0)),"",VLOOKUP($B$1&amp;$M39&amp;$A39,#REF!,14,0)))</f>
        <v/>
      </c>
      <c r="J39" s="8" t="str">
        <f>IF(IF(ISERROR(VLOOKUP($B$1&amp;$M39&amp;$A39,#REF!,4,0)),"",VLOOKUP($B$1&amp;$M39&amp;$A39,#REF!,4,0))=0,"",IF(ISERROR(VLOOKUP($B$1&amp;$M39&amp;$A39,#REF!,4,0)),"",VLOOKUP($B$1&amp;$M39&amp;$A39,#REF!,4,0)))</f>
        <v/>
      </c>
      <c r="K39" s="9" t="str">
        <f t="shared" si="19"/>
        <v/>
      </c>
      <c r="L39" s="8" t="str">
        <f>IF(IF(ISERROR(VLOOKUP($B$1&amp;$M39&amp;$A39,#REF!,5,0)),"",VLOOKUP($B$1&amp;$M39&amp;$A39,#REF!,5,0))=0,"",IF(ISERROR(VLOOKUP($B$1&amp;$M39&amp;$A39,#REF!,5,0)),"",VLOOKUP($B$1&amp;$M39&amp;$A39,#REF!,5,0)))</f>
        <v/>
      </c>
      <c r="M39" s="6" t="e">
        <f t="shared" si="16"/>
        <v>#REF!</v>
      </c>
    </row>
    <row r="40" spans="1:13" s="7" customFormat="1" ht="15" x14ac:dyDescent="0.35">
      <c r="A40" s="7" t="s">
        <v>19</v>
      </c>
      <c r="B40" s="8" t="str">
        <f>IF(IF(ISERROR(VLOOKUP($B$1&amp;$M40&amp;$A40,#REF!,3,0)),"",VLOOKUP($B$1&amp;$M40&amp;$A40,#REF!,3,0))=0,"",IF(ISERROR(VLOOKUP($B$1&amp;$M40&amp;$A40,#REF!,3,0)),"",VLOOKUP($B$1&amp;$M40&amp;$A40,#REF!,3,0)))</f>
        <v/>
      </c>
      <c r="C40" s="8" t="str">
        <f>IF(IF(ISERROR(VLOOKUP($B$1&amp;$M40&amp;$A40,#REF!,6,0)),"",VLOOKUP($B$1&amp;$M40&amp;$A40,#REF!,6,0))=0,"",IF(ISERROR(VLOOKUP($B$1&amp;$M40&amp;$A40,#REF!,6,0)),"",VLOOKUP($B$1&amp;$M40&amp;$A40,#REF!,6,0)))</f>
        <v/>
      </c>
      <c r="D40" s="8" t="str">
        <f>IF(IF(ISERROR(VLOOKUP($B$1&amp;$M40&amp;$A40,#REF!,11,0)),"",VLOOKUP($B$1&amp;$M40&amp;$A40,#REF!,11,0))=0,"",IF(ISERROR(VLOOKUP($B$1&amp;$M40&amp;$A40,#REF!,11,0)),"",VLOOKUP($B$1&amp;$M40&amp;$A40,#REF!,11,0)))</f>
        <v/>
      </c>
      <c r="E40" s="9" t="str">
        <f t="shared" si="17"/>
        <v/>
      </c>
      <c r="F40" s="8" t="str">
        <f>IF(IF(ISERROR(VLOOKUP($B$1&amp;$M40&amp;$A40,#REF!,12,0)),"",VLOOKUP($B$1&amp;$M40&amp;$A40,#REF!,12,0))=0,"",IF(ISERROR(VLOOKUP($B$1&amp;$M40&amp;$A40,#REF!,12,0)),"",VLOOKUP($B$1&amp;$M40&amp;$A40,#REF!,12,0)))</f>
        <v/>
      </c>
      <c r="G40" s="8" t="str">
        <f>IF(IF(ISERROR(VLOOKUP($B$1&amp;$M40&amp;$A40,#REF!,13,0)),"",VLOOKUP($B$1&amp;$M40&amp;$A40,#REF!,13,0))=0,"",IF(ISERROR(VLOOKUP($B$1&amp;$M40&amp;$A40,#REF!,13,0)),"",VLOOKUP($B$1&amp;$M40&amp;$A40,#REF!,13,0)))</f>
        <v/>
      </c>
      <c r="H40" s="9" t="str">
        <f t="shared" si="18"/>
        <v/>
      </c>
      <c r="I40" s="8" t="str">
        <f>IF(IF(ISERROR(VLOOKUP($B$1&amp;$M40&amp;$A40,#REF!,14,0)),"",VLOOKUP($B$1&amp;$M40&amp;$A40,#REF!,14,0))=0,"",IF(ISERROR(VLOOKUP($B$1&amp;$M40&amp;$A40,#REF!,14,0)),"",VLOOKUP($B$1&amp;$M40&amp;$A40,#REF!,14,0)))</f>
        <v/>
      </c>
      <c r="J40" s="8" t="str">
        <f>IF(IF(ISERROR(VLOOKUP($B$1&amp;$M40&amp;$A40,#REF!,4,0)),"",VLOOKUP($B$1&amp;$M40&amp;$A40,#REF!,4,0))=0,"",IF(ISERROR(VLOOKUP($B$1&amp;$M40&amp;$A40,#REF!,4,0)),"",VLOOKUP($B$1&amp;$M40&amp;$A40,#REF!,4,0)))</f>
        <v/>
      </c>
      <c r="K40" s="9" t="str">
        <f t="shared" si="19"/>
        <v/>
      </c>
      <c r="L40" s="8" t="str">
        <f>IF(IF(ISERROR(VLOOKUP($B$1&amp;$M40&amp;$A40,#REF!,5,0)),"",VLOOKUP($B$1&amp;$M40&amp;$A40,#REF!,5,0))=0,"",IF(ISERROR(VLOOKUP($B$1&amp;$M40&amp;$A40,#REF!,5,0)),"",VLOOKUP($B$1&amp;$M40&amp;$A40,#REF!,5,0)))</f>
        <v/>
      </c>
      <c r="M40" s="6" t="e">
        <f t="shared" si="16"/>
        <v>#REF!</v>
      </c>
    </row>
    <row r="41" spans="1:13" s="7" customFormat="1" ht="15" x14ac:dyDescent="0.35">
      <c r="A41" s="7" t="s">
        <v>20</v>
      </c>
      <c r="B41" s="8" t="str">
        <f>IF(IF(ISERROR(VLOOKUP($B$1&amp;$M41&amp;$A41,#REF!,3,0)),"",VLOOKUP($B$1&amp;$M41&amp;$A41,#REF!,3,0))=0,"",IF(ISERROR(VLOOKUP($B$1&amp;$M41&amp;$A41,#REF!,3,0)),"",VLOOKUP($B$1&amp;$M41&amp;$A41,#REF!,3,0)))</f>
        <v/>
      </c>
      <c r="C41" s="8" t="str">
        <f>IF(IF(ISERROR(VLOOKUP($B$1&amp;$M41&amp;$A41,#REF!,6,0)),"",VLOOKUP($B$1&amp;$M41&amp;$A41,#REF!,6,0))=0,"",IF(ISERROR(VLOOKUP($B$1&amp;$M41&amp;$A41,#REF!,6,0)),"",VLOOKUP($B$1&amp;$M41&amp;$A41,#REF!,6,0)))</f>
        <v/>
      </c>
      <c r="D41" s="8" t="str">
        <f>IF(IF(ISERROR(VLOOKUP($B$1&amp;$M41&amp;$A41,#REF!,11,0)),"",VLOOKUP($B$1&amp;$M41&amp;$A41,#REF!,11,0))=0,"",IF(ISERROR(VLOOKUP($B$1&amp;$M41&amp;$A41,#REF!,11,0)),"",VLOOKUP($B$1&amp;$M41&amp;$A41,#REF!,11,0)))</f>
        <v/>
      </c>
      <c r="E41" s="9" t="str">
        <f t="shared" si="17"/>
        <v/>
      </c>
      <c r="F41" s="8" t="str">
        <f>IF(IF(ISERROR(VLOOKUP($B$1&amp;$M41&amp;$A41,#REF!,12,0)),"",VLOOKUP($B$1&amp;$M41&amp;$A41,#REF!,12,0))=0,"",IF(ISERROR(VLOOKUP($B$1&amp;$M41&amp;$A41,#REF!,12,0)),"",VLOOKUP($B$1&amp;$M41&amp;$A41,#REF!,12,0)))</f>
        <v/>
      </c>
      <c r="G41" s="8" t="str">
        <f>IF(IF(ISERROR(VLOOKUP($B$1&amp;$M41&amp;$A41,#REF!,13,0)),"",VLOOKUP($B$1&amp;$M41&amp;$A41,#REF!,13,0))=0,"",IF(ISERROR(VLOOKUP($B$1&amp;$M41&amp;$A41,#REF!,13,0)),"",VLOOKUP($B$1&amp;$M41&amp;$A41,#REF!,13,0)))</f>
        <v/>
      </c>
      <c r="H41" s="9" t="str">
        <f t="shared" si="18"/>
        <v/>
      </c>
      <c r="I41" s="8" t="str">
        <f>IF(IF(ISERROR(VLOOKUP($B$1&amp;$M41&amp;$A41,#REF!,14,0)),"",VLOOKUP($B$1&amp;$M41&amp;$A41,#REF!,14,0))=0,"",IF(ISERROR(VLOOKUP($B$1&amp;$M41&amp;$A41,#REF!,14,0)),"",VLOOKUP($B$1&amp;$M41&amp;$A41,#REF!,14,0)))</f>
        <v/>
      </c>
      <c r="J41" s="8" t="str">
        <f>IF(IF(ISERROR(VLOOKUP($B$1&amp;$M41&amp;$A41,#REF!,4,0)),"",VLOOKUP($B$1&amp;$M41&amp;$A41,#REF!,4,0))=0,"",IF(ISERROR(VLOOKUP($B$1&amp;$M41&amp;$A41,#REF!,4,0)),"",VLOOKUP($B$1&amp;$M41&amp;$A41,#REF!,4,0)))</f>
        <v/>
      </c>
      <c r="K41" s="9" t="str">
        <f t="shared" si="19"/>
        <v/>
      </c>
      <c r="L41" s="8" t="str">
        <f>IF(IF(ISERROR(VLOOKUP($B$1&amp;$M41&amp;$A41,#REF!,5,0)),"",VLOOKUP($B$1&amp;$M41&amp;$A41,#REF!,5,0))=0,"",IF(ISERROR(VLOOKUP($B$1&amp;$M41&amp;$A41,#REF!,5,0)),"",VLOOKUP($B$1&amp;$M41&amp;$A41,#REF!,5,0)))</f>
        <v/>
      </c>
      <c r="M41" s="6" t="e">
        <f t="shared" si="16"/>
        <v>#REF!</v>
      </c>
    </row>
    <row r="42" spans="1:13" s="7" customFormat="1" ht="15" x14ac:dyDescent="0.35">
      <c r="A42" s="7" t="s">
        <v>23</v>
      </c>
      <c r="B42" s="8" t="str">
        <f>IF(IF(ISERROR(VLOOKUP($B$1&amp;$M42&amp;$A42,#REF!,3,0)),"",VLOOKUP($B$1&amp;$M42&amp;$A42,#REF!,3,0))=0,"",IF(ISERROR(VLOOKUP($B$1&amp;$M42&amp;$A42,#REF!,3,0)),"",VLOOKUP($B$1&amp;$M42&amp;$A42,#REF!,3,0)))</f>
        <v/>
      </c>
      <c r="C42" s="8" t="str">
        <f>IF(IF(ISERROR(VLOOKUP($B$1&amp;$M42&amp;$A42,#REF!,6,0)),"",VLOOKUP($B$1&amp;$M42&amp;$A42,#REF!,6,0))=0,"",IF(ISERROR(VLOOKUP($B$1&amp;$M42&amp;$A42,#REF!,6,0)),"",VLOOKUP($B$1&amp;$M42&amp;$A42,#REF!,6,0)))</f>
        <v/>
      </c>
      <c r="D42" s="8" t="str">
        <f>IF(IF(ISERROR(VLOOKUP($B$1&amp;$M42&amp;$A42,#REF!,11,0)),"",VLOOKUP($B$1&amp;$M42&amp;$A42,#REF!,11,0))=0,"",IF(ISERROR(VLOOKUP($B$1&amp;$M42&amp;$A42,#REF!,11,0)),"",VLOOKUP($B$1&amp;$M42&amp;$A42,#REF!,11,0)))</f>
        <v/>
      </c>
      <c r="E42" s="9" t="str">
        <f t="shared" si="17"/>
        <v/>
      </c>
      <c r="F42" s="8" t="str">
        <f>IF(IF(ISERROR(VLOOKUP($B$1&amp;$M42&amp;$A42,#REF!,12,0)),"",VLOOKUP($B$1&amp;$M42&amp;$A42,#REF!,12,0))=0,"",IF(ISERROR(VLOOKUP($B$1&amp;$M42&amp;$A42,#REF!,12,0)),"",VLOOKUP($B$1&amp;$M42&amp;$A42,#REF!,12,0)))</f>
        <v/>
      </c>
      <c r="G42" s="8" t="str">
        <f>IF(IF(ISERROR(VLOOKUP($B$1&amp;$M42&amp;$A42,#REF!,13,0)),"",VLOOKUP($B$1&amp;$M42&amp;$A42,#REF!,13,0))=0,"",IF(ISERROR(VLOOKUP($B$1&amp;$M42&amp;$A42,#REF!,13,0)),"",VLOOKUP($B$1&amp;$M42&amp;$A42,#REF!,13,0)))</f>
        <v/>
      </c>
      <c r="H42" s="9" t="str">
        <f t="shared" si="18"/>
        <v/>
      </c>
      <c r="I42" s="8" t="str">
        <f>IF(IF(ISERROR(VLOOKUP($B$1&amp;$M42&amp;$A42,#REF!,14,0)),"",VLOOKUP($B$1&amp;$M42&amp;$A42,#REF!,14,0))=0,"",IF(ISERROR(VLOOKUP($B$1&amp;$M42&amp;$A42,#REF!,14,0)),"",VLOOKUP($B$1&amp;$M42&amp;$A42,#REF!,14,0)))</f>
        <v/>
      </c>
      <c r="J42" s="8" t="str">
        <f>IF(IF(ISERROR(VLOOKUP($B$1&amp;$M42&amp;$A42,#REF!,4,0)),"",VLOOKUP($B$1&amp;$M42&amp;$A42,#REF!,4,0))=0,"",IF(ISERROR(VLOOKUP($B$1&amp;$M42&amp;$A42,#REF!,4,0)),"",VLOOKUP($B$1&amp;$M42&amp;$A42,#REF!,4,0)))</f>
        <v/>
      </c>
      <c r="K42" s="9" t="str">
        <f t="shared" si="19"/>
        <v/>
      </c>
      <c r="L42" s="8" t="str">
        <f>IF(IF(ISERROR(VLOOKUP($B$1&amp;$M42&amp;$A42,#REF!,5,0)),"",VLOOKUP($B$1&amp;$M42&amp;$A42,#REF!,5,0))=0,"",IF(ISERROR(VLOOKUP($B$1&amp;$M42&amp;$A42,#REF!,5,0)),"",VLOOKUP($B$1&amp;$M42&amp;$A42,#REF!,5,0)))</f>
        <v/>
      </c>
      <c r="M42" s="6" t="e">
        <f t="shared" si="16"/>
        <v>#REF!</v>
      </c>
    </row>
    <row r="43" spans="1:13" s="4" customFormat="1" ht="21.75" customHeight="1" thickBot="1" x14ac:dyDescent="0.6">
      <c r="A43" s="27" t="e">
        <f>A35+1</f>
        <v>#REF!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3" t="e">
        <f>A43</f>
        <v>#REF!</v>
      </c>
    </row>
    <row r="44" spans="1:13" s="5" customFormat="1" ht="17.25" customHeight="1" x14ac:dyDescent="0.3">
      <c r="B44" s="19"/>
      <c r="C44" s="19" t="s">
        <v>10</v>
      </c>
      <c r="D44" s="28" t="s">
        <v>11</v>
      </c>
      <c r="E44" s="28"/>
      <c r="F44" s="28"/>
      <c r="G44" s="28" t="s">
        <v>12</v>
      </c>
      <c r="H44" s="28"/>
      <c r="I44" s="28"/>
      <c r="J44" s="26" t="s">
        <v>3</v>
      </c>
      <c r="K44" s="26"/>
      <c r="L44" s="26"/>
      <c r="M44" s="6" t="e">
        <f t="shared" ref="M44:M52" si="20">M43</f>
        <v>#REF!</v>
      </c>
    </row>
    <row r="45" spans="1:13" s="7" customFormat="1" ht="15" x14ac:dyDescent="0.35">
      <c r="A45" s="7" t="s">
        <v>13</v>
      </c>
      <c r="B45" s="8" t="str">
        <f>IF(IF(ISERROR(VLOOKUP($B$1&amp;$M45&amp;$A45,#REF!,3,0)),"",VLOOKUP($B$1&amp;$M45&amp;$A45,#REF!,3,0))=0,"",IF(ISERROR(VLOOKUP($B$1&amp;$M45&amp;$A45,#REF!,3,0)),"",VLOOKUP($B$1&amp;$M45&amp;$A45,#REF!,3,0)))</f>
        <v/>
      </c>
      <c r="C45" s="8" t="str">
        <f>IF(IF(ISERROR(VLOOKUP($B$1&amp;$M45&amp;$A45,#REF!,6,0)),"",VLOOKUP($B$1&amp;$M45&amp;$A45,#REF!,6,0))=0,"",IF(ISERROR(VLOOKUP($B$1&amp;$M45&amp;$A45,#REF!,6,0)),"",VLOOKUP($B$1&amp;$M45&amp;$A45,#REF!,6,0)))</f>
        <v/>
      </c>
      <c r="D45" s="8" t="str">
        <f>IF(IF(ISERROR(VLOOKUP($B$1&amp;$M45&amp;$A45,#REF!,11,0)),"",VLOOKUP($B$1&amp;$M45&amp;$A45,#REF!,11,0))=0,"",IF(ISERROR(VLOOKUP($B$1&amp;$M45&amp;$A45,#REF!,11,0)),"",VLOOKUP($B$1&amp;$M45&amp;$A45,#REF!,11,0)))</f>
        <v/>
      </c>
      <c r="E45" s="9" t="str">
        <f t="shared" ref="E45:E50" si="21">IF(OR(D45=0,D45=""),""," - ")</f>
        <v/>
      </c>
      <c r="F45" s="8" t="str">
        <f>IF(IF(ISERROR(VLOOKUP($B$1&amp;$M45&amp;$A45,#REF!,12,0)),"",VLOOKUP($B$1&amp;$M45&amp;$A45,#REF!,12,0))=0,"",IF(ISERROR(VLOOKUP($B$1&amp;$M45&amp;$A45,#REF!,12,0)),"",VLOOKUP($B$1&amp;$M45&amp;$A45,#REF!,12,0)))</f>
        <v/>
      </c>
      <c r="G45" s="8" t="str">
        <f>IF(IF(ISERROR(VLOOKUP($B$1&amp;$M45&amp;$A45,#REF!,13,0)),"",VLOOKUP($B$1&amp;$M45&amp;$A45,#REF!,13,0))=0,"",IF(ISERROR(VLOOKUP($B$1&amp;$M45&amp;$A45,#REF!,13,0)),"",VLOOKUP($B$1&amp;$M45&amp;$A45,#REF!,13,0)))</f>
        <v/>
      </c>
      <c r="H45" s="9" t="str">
        <f t="shared" ref="H45:H50" si="22">IF(OR(G45=0,G45=""),""," - ")</f>
        <v/>
      </c>
      <c r="I45" s="8" t="str">
        <f>IF(IF(ISERROR(VLOOKUP($B$1&amp;$M45&amp;$A45,#REF!,14,0)),"",VLOOKUP($B$1&amp;$M45&amp;$A45,#REF!,14,0))=0,"",IF(ISERROR(VLOOKUP($B$1&amp;$M45&amp;$A45,#REF!,14,0)),"",VLOOKUP($B$1&amp;$M45&amp;$A45,#REF!,14,0)))</f>
        <v/>
      </c>
      <c r="J45" s="8" t="str">
        <f>IF(IF(ISERROR(VLOOKUP($B$1&amp;$M45&amp;$A45,#REF!,4,0)),"",VLOOKUP($B$1&amp;$M45&amp;$A45,#REF!,4,0))=0,"",IF(ISERROR(VLOOKUP($B$1&amp;$M45&amp;$A45,#REF!,4,0)),"",VLOOKUP($B$1&amp;$M45&amp;$A45,#REF!,4,0)))</f>
        <v/>
      </c>
      <c r="K45" s="9" t="str">
        <f t="shared" ref="K45:K50" si="23">IF(OR(J45=0,J45=""),""," - ")</f>
        <v/>
      </c>
      <c r="L45" s="8" t="str">
        <f>IF(IF(ISERROR(VLOOKUP($B$1&amp;$M45&amp;$A45,#REF!,5,0)),"",VLOOKUP($B$1&amp;$M45&amp;$A45,#REF!,5,0))=0,"",IF(ISERROR(VLOOKUP($B$1&amp;$M45&amp;$A45,#REF!,5,0)),"",VLOOKUP($B$1&amp;$M45&amp;$A45,#REF!,5,0)))</f>
        <v/>
      </c>
      <c r="M45" s="6" t="e">
        <f t="shared" si="20"/>
        <v>#REF!</v>
      </c>
    </row>
    <row r="46" spans="1:13" s="7" customFormat="1" ht="15" x14ac:dyDescent="0.35">
      <c r="A46" s="7" t="s">
        <v>15</v>
      </c>
      <c r="B46" s="8" t="str">
        <f>IF(IF(ISERROR(VLOOKUP($B$1&amp;$M46&amp;$A46,#REF!,3,0)),"",VLOOKUP($B$1&amp;$M46&amp;$A46,#REF!,3,0))=0,"",IF(ISERROR(VLOOKUP($B$1&amp;$M46&amp;$A46,#REF!,3,0)),"",VLOOKUP($B$1&amp;$M46&amp;$A46,#REF!,3,0)))</f>
        <v/>
      </c>
      <c r="C46" s="8" t="str">
        <f>IF(IF(ISERROR(VLOOKUP($B$1&amp;$M46&amp;$A46,#REF!,6,0)),"",VLOOKUP($B$1&amp;$M46&amp;$A46,#REF!,6,0))=0,"",IF(ISERROR(VLOOKUP($B$1&amp;$M46&amp;$A46,#REF!,6,0)),"",VLOOKUP($B$1&amp;$M46&amp;$A46,#REF!,6,0)))</f>
        <v/>
      </c>
      <c r="D46" s="8" t="str">
        <f>IF(IF(ISERROR(VLOOKUP($B$1&amp;$M46&amp;$A46,#REF!,11,0)),"",VLOOKUP($B$1&amp;$M46&amp;$A46,#REF!,11,0))=0,"",IF(ISERROR(VLOOKUP($B$1&amp;$M46&amp;$A46,#REF!,11,0)),"",VLOOKUP($B$1&amp;$M46&amp;$A46,#REF!,11,0)))</f>
        <v/>
      </c>
      <c r="E46" s="9" t="str">
        <f t="shared" si="21"/>
        <v/>
      </c>
      <c r="F46" s="8" t="str">
        <f>IF(IF(ISERROR(VLOOKUP($B$1&amp;$M46&amp;$A46,#REF!,12,0)),"",VLOOKUP($B$1&amp;$M46&amp;$A46,#REF!,12,0))=0,"",IF(ISERROR(VLOOKUP($B$1&amp;$M46&amp;$A46,#REF!,12,0)),"",VLOOKUP($B$1&amp;$M46&amp;$A46,#REF!,12,0)))</f>
        <v/>
      </c>
      <c r="G46" s="8" t="str">
        <f>IF(IF(ISERROR(VLOOKUP($B$1&amp;$M46&amp;$A46,#REF!,13,0)),"",VLOOKUP($B$1&amp;$M46&amp;$A46,#REF!,13,0))=0,"",IF(ISERROR(VLOOKUP($B$1&amp;$M46&amp;$A46,#REF!,13,0)),"",VLOOKUP($B$1&amp;$M46&amp;$A46,#REF!,13,0)))</f>
        <v/>
      </c>
      <c r="H46" s="9" t="str">
        <f t="shared" si="22"/>
        <v/>
      </c>
      <c r="I46" s="8" t="str">
        <f>IF(IF(ISERROR(VLOOKUP($B$1&amp;$M46&amp;$A46,#REF!,14,0)),"",VLOOKUP($B$1&amp;$M46&amp;$A46,#REF!,14,0))=0,"",IF(ISERROR(VLOOKUP($B$1&amp;$M46&amp;$A46,#REF!,14,0)),"",VLOOKUP($B$1&amp;$M46&amp;$A46,#REF!,14,0)))</f>
        <v/>
      </c>
      <c r="J46" s="8" t="str">
        <f>IF(IF(ISERROR(VLOOKUP($B$1&amp;$M46&amp;$A46,#REF!,4,0)),"",VLOOKUP($B$1&amp;$M46&amp;$A46,#REF!,4,0))=0,"",IF(ISERROR(VLOOKUP($B$1&amp;$M46&amp;$A46,#REF!,4,0)),"",VLOOKUP($B$1&amp;$M46&amp;$A46,#REF!,4,0)))</f>
        <v/>
      </c>
      <c r="K46" s="9" t="str">
        <f t="shared" si="23"/>
        <v/>
      </c>
      <c r="L46" s="8" t="str">
        <f>IF(IF(ISERROR(VLOOKUP($B$1&amp;$M46&amp;$A46,#REF!,5,0)),"",VLOOKUP($B$1&amp;$M46&amp;$A46,#REF!,5,0))=0,"",IF(ISERROR(VLOOKUP($B$1&amp;$M46&amp;$A46,#REF!,5,0)),"",VLOOKUP($B$1&amp;$M46&amp;$A46,#REF!,5,0)))</f>
        <v/>
      </c>
      <c r="M46" s="6" t="e">
        <f t="shared" si="20"/>
        <v>#REF!</v>
      </c>
    </row>
    <row r="47" spans="1:13" s="7" customFormat="1" ht="15" x14ac:dyDescent="0.35">
      <c r="A47" s="7" t="s">
        <v>16</v>
      </c>
      <c r="B47" s="8" t="str">
        <f>IF(IF(ISERROR(VLOOKUP($B$1&amp;$M47&amp;$A47,#REF!,3,0)),"",VLOOKUP($B$1&amp;$M47&amp;$A47,#REF!,3,0))=0,"",IF(ISERROR(VLOOKUP($B$1&amp;$M47&amp;$A47,#REF!,3,0)),"",VLOOKUP($B$1&amp;$M47&amp;$A47,#REF!,3,0)))</f>
        <v/>
      </c>
      <c r="C47" s="8" t="str">
        <f>IF(IF(ISERROR(VLOOKUP($B$1&amp;$M47&amp;$A47,#REF!,6,0)),"",VLOOKUP($B$1&amp;$M47&amp;$A47,#REF!,6,0))=0,"",IF(ISERROR(VLOOKUP($B$1&amp;$M47&amp;$A47,#REF!,6,0)),"",VLOOKUP($B$1&amp;$M47&amp;$A47,#REF!,6,0)))</f>
        <v/>
      </c>
      <c r="D47" s="8" t="str">
        <f>IF(IF(ISERROR(VLOOKUP($B$1&amp;$M47&amp;$A47,#REF!,11,0)),"",VLOOKUP($B$1&amp;$M47&amp;$A47,#REF!,11,0))=0,"",IF(ISERROR(VLOOKUP($B$1&amp;$M47&amp;$A47,#REF!,11,0)),"",VLOOKUP($B$1&amp;$M47&amp;$A47,#REF!,11,0)))</f>
        <v/>
      </c>
      <c r="E47" s="9" t="str">
        <f t="shared" si="21"/>
        <v/>
      </c>
      <c r="F47" s="8" t="str">
        <f>IF(IF(ISERROR(VLOOKUP($B$1&amp;$M47&amp;$A47,#REF!,12,0)),"",VLOOKUP($B$1&amp;$M47&amp;$A47,#REF!,12,0))=0,"",IF(ISERROR(VLOOKUP($B$1&amp;$M47&amp;$A47,#REF!,12,0)),"",VLOOKUP($B$1&amp;$M47&amp;$A47,#REF!,12,0)))</f>
        <v/>
      </c>
      <c r="G47" s="8" t="str">
        <f>IF(IF(ISERROR(VLOOKUP($B$1&amp;$M47&amp;$A47,#REF!,13,0)),"",VLOOKUP($B$1&amp;$M47&amp;$A47,#REF!,13,0))=0,"",IF(ISERROR(VLOOKUP($B$1&amp;$M47&amp;$A47,#REF!,13,0)),"",VLOOKUP($B$1&amp;$M47&amp;$A47,#REF!,13,0)))</f>
        <v/>
      </c>
      <c r="H47" s="9" t="str">
        <f t="shared" si="22"/>
        <v/>
      </c>
      <c r="I47" s="8" t="str">
        <f>IF(IF(ISERROR(VLOOKUP($B$1&amp;$M47&amp;$A47,#REF!,14,0)),"",VLOOKUP($B$1&amp;$M47&amp;$A47,#REF!,14,0))=0,"",IF(ISERROR(VLOOKUP($B$1&amp;$M47&amp;$A47,#REF!,14,0)),"",VLOOKUP($B$1&amp;$M47&amp;$A47,#REF!,14,0)))</f>
        <v/>
      </c>
      <c r="J47" s="8" t="str">
        <f>IF(IF(ISERROR(VLOOKUP($B$1&amp;$M47&amp;$A47,#REF!,4,0)),"",VLOOKUP($B$1&amp;$M47&amp;$A47,#REF!,4,0))=0,"",IF(ISERROR(VLOOKUP($B$1&amp;$M47&amp;$A47,#REF!,4,0)),"",VLOOKUP($B$1&amp;$M47&amp;$A47,#REF!,4,0)))</f>
        <v/>
      </c>
      <c r="K47" s="9" t="str">
        <f t="shared" si="23"/>
        <v/>
      </c>
      <c r="L47" s="8" t="str">
        <f>IF(IF(ISERROR(VLOOKUP($B$1&amp;$M47&amp;$A47,#REF!,5,0)),"",VLOOKUP($B$1&amp;$M47&amp;$A47,#REF!,5,0))=0,"",IF(ISERROR(VLOOKUP($B$1&amp;$M47&amp;$A47,#REF!,5,0)),"",VLOOKUP($B$1&amp;$M47&amp;$A47,#REF!,5,0)))</f>
        <v/>
      </c>
      <c r="M47" s="6" t="e">
        <f t="shared" si="20"/>
        <v>#REF!</v>
      </c>
    </row>
    <row r="48" spans="1:13" s="7" customFormat="1" ht="15" x14ac:dyDescent="0.35">
      <c r="A48" s="7" t="s">
        <v>19</v>
      </c>
      <c r="B48" s="8" t="str">
        <f>IF(IF(ISERROR(VLOOKUP($B$1&amp;$M48&amp;$A48,#REF!,3,0)),"",VLOOKUP($B$1&amp;$M48&amp;$A48,#REF!,3,0))=0,"",IF(ISERROR(VLOOKUP($B$1&amp;$M48&amp;$A48,#REF!,3,0)),"",VLOOKUP($B$1&amp;$M48&amp;$A48,#REF!,3,0)))</f>
        <v/>
      </c>
      <c r="C48" s="8" t="str">
        <f>IF(IF(ISERROR(VLOOKUP($B$1&amp;$M48&amp;$A48,#REF!,6,0)),"",VLOOKUP($B$1&amp;$M48&amp;$A48,#REF!,6,0))=0,"",IF(ISERROR(VLOOKUP($B$1&amp;$M48&amp;$A48,#REF!,6,0)),"",VLOOKUP($B$1&amp;$M48&amp;$A48,#REF!,6,0)))</f>
        <v/>
      </c>
      <c r="D48" s="8" t="str">
        <f>IF(IF(ISERROR(VLOOKUP($B$1&amp;$M48&amp;$A48,#REF!,11,0)),"",VLOOKUP($B$1&amp;$M48&amp;$A48,#REF!,11,0))=0,"",IF(ISERROR(VLOOKUP($B$1&amp;$M48&amp;$A48,#REF!,11,0)),"",VLOOKUP($B$1&amp;$M48&amp;$A48,#REF!,11,0)))</f>
        <v/>
      </c>
      <c r="E48" s="9" t="str">
        <f t="shared" si="21"/>
        <v/>
      </c>
      <c r="F48" s="8" t="str">
        <f>IF(IF(ISERROR(VLOOKUP($B$1&amp;$M48&amp;$A48,#REF!,12,0)),"",VLOOKUP($B$1&amp;$M48&amp;$A48,#REF!,12,0))=0,"",IF(ISERROR(VLOOKUP($B$1&amp;$M48&amp;$A48,#REF!,12,0)),"",VLOOKUP($B$1&amp;$M48&amp;$A48,#REF!,12,0)))</f>
        <v/>
      </c>
      <c r="G48" s="8" t="str">
        <f>IF(IF(ISERROR(VLOOKUP($B$1&amp;$M48&amp;$A48,#REF!,13,0)),"",VLOOKUP($B$1&amp;$M48&amp;$A48,#REF!,13,0))=0,"",IF(ISERROR(VLOOKUP($B$1&amp;$M48&amp;$A48,#REF!,13,0)),"",VLOOKUP($B$1&amp;$M48&amp;$A48,#REF!,13,0)))</f>
        <v/>
      </c>
      <c r="H48" s="9" t="str">
        <f t="shared" si="22"/>
        <v/>
      </c>
      <c r="I48" s="8" t="str">
        <f>IF(IF(ISERROR(VLOOKUP($B$1&amp;$M48&amp;$A48,#REF!,14,0)),"",VLOOKUP($B$1&amp;$M48&amp;$A48,#REF!,14,0))=0,"",IF(ISERROR(VLOOKUP($B$1&amp;$M48&amp;$A48,#REF!,14,0)),"",VLOOKUP($B$1&amp;$M48&amp;$A48,#REF!,14,0)))</f>
        <v/>
      </c>
      <c r="J48" s="8" t="str">
        <f>IF(IF(ISERROR(VLOOKUP($B$1&amp;$M48&amp;$A48,#REF!,4,0)),"",VLOOKUP($B$1&amp;$M48&amp;$A48,#REF!,4,0))=0,"",IF(ISERROR(VLOOKUP($B$1&amp;$M48&amp;$A48,#REF!,4,0)),"",VLOOKUP($B$1&amp;$M48&amp;$A48,#REF!,4,0)))</f>
        <v/>
      </c>
      <c r="K48" s="9" t="str">
        <f t="shared" si="23"/>
        <v/>
      </c>
      <c r="L48" s="8" t="str">
        <f>IF(IF(ISERROR(VLOOKUP($B$1&amp;$M48&amp;$A48,#REF!,5,0)),"",VLOOKUP($B$1&amp;$M48&amp;$A48,#REF!,5,0))=0,"",IF(ISERROR(VLOOKUP($B$1&amp;$M48&amp;$A48,#REF!,5,0)),"",VLOOKUP($B$1&amp;$M48&amp;$A48,#REF!,5,0)))</f>
        <v/>
      </c>
      <c r="M48" s="6" t="e">
        <f t="shared" si="20"/>
        <v>#REF!</v>
      </c>
    </row>
    <row r="49" spans="1:13" s="7" customFormat="1" ht="15" x14ac:dyDescent="0.35">
      <c r="A49" s="7" t="s">
        <v>20</v>
      </c>
      <c r="B49" s="8" t="str">
        <f>IF(IF(ISERROR(VLOOKUP($B$1&amp;$M49&amp;$A49,#REF!,3,0)),"",VLOOKUP($B$1&amp;$M49&amp;$A49,#REF!,3,0))=0,"",IF(ISERROR(VLOOKUP($B$1&amp;$M49&amp;$A49,#REF!,3,0)),"",VLOOKUP($B$1&amp;$M49&amp;$A49,#REF!,3,0)))</f>
        <v/>
      </c>
      <c r="C49" s="8" t="str">
        <f>IF(IF(ISERROR(VLOOKUP($B$1&amp;$M49&amp;$A49,#REF!,6,0)),"",VLOOKUP($B$1&amp;$M49&amp;$A49,#REF!,6,0))=0,"",IF(ISERROR(VLOOKUP($B$1&amp;$M49&amp;$A49,#REF!,6,0)),"",VLOOKUP($B$1&amp;$M49&amp;$A49,#REF!,6,0)))</f>
        <v/>
      </c>
      <c r="D49" s="8" t="str">
        <f>IF(IF(ISERROR(VLOOKUP($B$1&amp;$M49&amp;$A49,#REF!,11,0)),"",VLOOKUP($B$1&amp;$M49&amp;$A49,#REF!,11,0))=0,"",IF(ISERROR(VLOOKUP($B$1&amp;$M49&amp;$A49,#REF!,11,0)),"",VLOOKUP($B$1&amp;$M49&amp;$A49,#REF!,11,0)))</f>
        <v/>
      </c>
      <c r="E49" s="9" t="str">
        <f t="shared" si="21"/>
        <v/>
      </c>
      <c r="F49" s="8" t="str">
        <f>IF(IF(ISERROR(VLOOKUP($B$1&amp;$M49&amp;$A49,#REF!,12,0)),"",VLOOKUP($B$1&amp;$M49&amp;$A49,#REF!,12,0))=0,"",IF(ISERROR(VLOOKUP($B$1&amp;$M49&amp;$A49,#REF!,12,0)),"",VLOOKUP($B$1&amp;$M49&amp;$A49,#REF!,12,0)))</f>
        <v/>
      </c>
      <c r="G49" s="8" t="str">
        <f>IF(IF(ISERROR(VLOOKUP($B$1&amp;$M49&amp;$A49,#REF!,13,0)),"",VLOOKUP($B$1&amp;$M49&amp;$A49,#REF!,13,0))=0,"",IF(ISERROR(VLOOKUP($B$1&amp;$M49&amp;$A49,#REF!,13,0)),"",VLOOKUP($B$1&amp;$M49&amp;$A49,#REF!,13,0)))</f>
        <v/>
      </c>
      <c r="H49" s="9" t="str">
        <f t="shared" si="22"/>
        <v/>
      </c>
      <c r="I49" s="8" t="str">
        <f>IF(IF(ISERROR(VLOOKUP($B$1&amp;$M49&amp;$A49,#REF!,14,0)),"",VLOOKUP($B$1&amp;$M49&amp;$A49,#REF!,14,0))=0,"",IF(ISERROR(VLOOKUP($B$1&amp;$M49&amp;$A49,#REF!,14,0)),"",VLOOKUP($B$1&amp;$M49&amp;$A49,#REF!,14,0)))</f>
        <v/>
      </c>
      <c r="J49" s="8" t="str">
        <f>IF(IF(ISERROR(VLOOKUP($B$1&amp;$M49&amp;$A49,#REF!,4,0)),"",VLOOKUP($B$1&amp;$M49&amp;$A49,#REF!,4,0))=0,"",IF(ISERROR(VLOOKUP($B$1&amp;$M49&amp;$A49,#REF!,4,0)),"",VLOOKUP($B$1&amp;$M49&amp;$A49,#REF!,4,0)))</f>
        <v/>
      </c>
      <c r="K49" s="9" t="str">
        <f t="shared" si="23"/>
        <v/>
      </c>
      <c r="L49" s="8" t="str">
        <f>IF(IF(ISERROR(VLOOKUP($B$1&amp;$M49&amp;$A49,#REF!,5,0)),"",VLOOKUP($B$1&amp;$M49&amp;$A49,#REF!,5,0))=0,"",IF(ISERROR(VLOOKUP($B$1&amp;$M49&amp;$A49,#REF!,5,0)),"",VLOOKUP($B$1&amp;$M49&amp;$A49,#REF!,5,0)))</f>
        <v/>
      </c>
      <c r="M49" s="6" t="e">
        <f t="shared" si="20"/>
        <v>#REF!</v>
      </c>
    </row>
    <row r="50" spans="1:13" s="7" customFormat="1" ht="15" x14ac:dyDescent="0.35">
      <c r="A50" s="7" t="s">
        <v>23</v>
      </c>
      <c r="B50" s="8" t="str">
        <f>IF(IF(ISERROR(VLOOKUP($B$1&amp;$M50&amp;$A50,#REF!,3,0)),"",VLOOKUP($B$1&amp;$M50&amp;$A50,#REF!,3,0))=0,"",IF(ISERROR(VLOOKUP($B$1&amp;$M50&amp;$A50,#REF!,3,0)),"",VLOOKUP($B$1&amp;$M50&amp;$A50,#REF!,3,0)))</f>
        <v/>
      </c>
      <c r="C50" s="8" t="str">
        <f>IF(IF(ISERROR(VLOOKUP($B$1&amp;$M50&amp;$A50,#REF!,6,0)),"",VLOOKUP($B$1&amp;$M50&amp;$A50,#REF!,6,0))=0,"",IF(ISERROR(VLOOKUP($B$1&amp;$M50&amp;$A50,#REF!,6,0)),"",VLOOKUP($B$1&amp;$M50&amp;$A50,#REF!,6,0)))</f>
        <v/>
      </c>
      <c r="D50" s="8" t="str">
        <f>IF(IF(ISERROR(VLOOKUP($B$1&amp;$M50&amp;$A50,#REF!,11,0)),"",VLOOKUP($B$1&amp;$M50&amp;$A50,#REF!,11,0))=0,"",IF(ISERROR(VLOOKUP($B$1&amp;$M50&amp;$A50,#REF!,11,0)),"",VLOOKUP($B$1&amp;$M50&amp;$A50,#REF!,11,0)))</f>
        <v/>
      </c>
      <c r="E50" s="9" t="str">
        <f t="shared" si="21"/>
        <v/>
      </c>
      <c r="F50" s="8" t="str">
        <f>IF(IF(ISERROR(VLOOKUP($B$1&amp;$M50&amp;$A50,#REF!,12,0)),"",VLOOKUP($B$1&amp;$M50&amp;$A50,#REF!,12,0))=0,"",IF(ISERROR(VLOOKUP($B$1&amp;$M50&amp;$A50,#REF!,12,0)),"",VLOOKUP($B$1&amp;$M50&amp;$A50,#REF!,12,0)))</f>
        <v/>
      </c>
      <c r="G50" s="8" t="str">
        <f>IF(IF(ISERROR(VLOOKUP($B$1&amp;$M50&amp;$A50,#REF!,13,0)),"",VLOOKUP($B$1&amp;$M50&amp;$A50,#REF!,13,0))=0,"",IF(ISERROR(VLOOKUP($B$1&amp;$M50&amp;$A50,#REF!,13,0)),"",VLOOKUP($B$1&amp;$M50&amp;$A50,#REF!,13,0)))</f>
        <v/>
      </c>
      <c r="H50" s="9" t="str">
        <f t="shared" si="22"/>
        <v/>
      </c>
      <c r="I50" s="8" t="str">
        <f>IF(IF(ISERROR(VLOOKUP($B$1&amp;$M50&amp;$A50,#REF!,14,0)),"",VLOOKUP($B$1&amp;$M50&amp;$A50,#REF!,14,0))=0,"",IF(ISERROR(VLOOKUP($B$1&amp;$M50&amp;$A50,#REF!,14,0)),"",VLOOKUP($B$1&amp;$M50&amp;$A50,#REF!,14,0)))</f>
        <v/>
      </c>
      <c r="J50" s="8" t="str">
        <f>IF(IF(ISERROR(VLOOKUP($B$1&amp;$M50&amp;$A50,#REF!,4,0)),"",VLOOKUP($B$1&amp;$M50&amp;$A50,#REF!,4,0))=0,"",IF(ISERROR(VLOOKUP($B$1&amp;$M50&amp;$A50,#REF!,4,0)),"",VLOOKUP($B$1&amp;$M50&amp;$A50,#REF!,4,0)))</f>
        <v/>
      </c>
      <c r="K50" s="9" t="str">
        <f t="shared" si="23"/>
        <v/>
      </c>
      <c r="L50" s="8" t="str">
        <f>IF(IF(ISERROR(VLOOKUP($B$1&amp;$M50&amp;$A50,#REF!,5,0)),"",VLOOKUP($B$1&amp;$M50&amp;$A50,#REF!,5,0))=0,"",IF(ISERROR(VLOOKUP($B$1&amp;$M50&amp;$A50,#REF!,5,0)),"",VLOOKUP($B$1&amp;$M50&amp;$A50,#REF!,5,0)))</f>
        <v/>
      </c>
      <c r="M50" s="6" t="e">
        <f t="shared" si="20"/>
        <v>#REF!</v>
      </c>
    </row>
    <row r="51" spans="1:13" ht="15" x14ac:dyDescent="0.35">
      <c r="A51" s="7"/>
      <c r="B51" s="7"/>
      <c r="C51" s="7"/>
      <c r="D51" s="10"/>
      <c r="E51" s="7"/>
      <c r="F51" s="7"/>
      <c r="G51" s="7"/>
      <c r="H51" s="7"/>
      <c r="I51" s="7"/>
      <c r="J51" s="7"/>
      <c r="K51" s="11"/>
      <c r="L51" s="7"/>
      <c r="M51" s="6" t="e">
        <f t="shared" si="20"/>
        <v>#REF!</v>
      </c>
    </row>
    <row r="52" spans="1:13" ht="15" x14ac:dyDescent="0.3">
      <c r="D52" s="12"/>
      <c r="E52" s="13"/>
      <c r="F52" s="13"/>
      <c r="M52" s="6" t="e">
        <f t="shared" si="20"/>
        <v>#REF!</v>
      </c>
    </row>
  </sheetData>
  <mergeCells count="26">
    <mergeCell ref="B1:L1"/>
    <mergeCell ref="A35:L35"/>
    <mergeCell ref="J4:L4"/>
    <mergeCell ref="A3:L3"/>
    <mergeCell ref="A11:L11"/>
    <mergeCell ref="J12:L12"/>
    <mergeCell ref="D4:F4"/>
    <mergeCell ref="J20:L20"/>
    <mergeCell ref="A27:L27"/>
    <mergeCell ref="J28:L28"/>
    <mergeCell ref="B2:L2"/>
    <mergeCell ref="D12:F12"/>
    <mergeCell ref="G12:I12"/>
    <mergeCell ref="D20:F20"/>
    <mergeCell ref="G20:I20"/>
    <mergeCell ref="G4:I4"/>
    <mergeCell ref="J36:L36"/>
    <mergeCell ref="A43:L43"/>
    <mergeCell ref="J44:L44"/>
    <mergeCell ref="A19:L19"/>
    <mergeCell ref="D36:F36"/>
    <mergeCell ref="G36:I36"/>
    <mergeCell ref="D44:F44"/>
    <mergeCell ref="D28:F28"/>
    <mergeCell ref="G28:I28"/>
    <mergeCell ref="G44:I44"/>
  </mergeCells>
  <phoneticPr fontId="4" type="noConversion"/>
  <printOptions horizontalCentered="1"/>
  <pageMargins left="0.15748031496062992" right="0.15748031496062992" top="0.28000000000000003" bottom="0.39" header="0.2" footer="0.2"/>
  <pageSetup paperSize="9" orientation="portrait" r:id="rId1"/>
  <headerFooter alignWithMargins="0">
    <oddFooter>&amp;L&amp;"Arial,Gras italique"&amp;8PALEO FESTIVAL NYON&amp;R&amp;"Arial,Gras italique"&amp;8Situation au &amp;D, &amp;T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C23BFC7-05B5-4456-83A4-6A8FBF73A3F0}">
          <x14:formula1>
            <xm:f>#REF!</xm:f>
          </x14:formula1>
          <xm:sqref>B2:L2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fc7845-db9b-43ce-aae6-d5b1cef6895c" xsi:nil="true"/>
    <lcf76f155ced4ddcb4097134ff3c332f xmlns="849af248-afc5-4274-81e2-3a489a8759ff">
      <Terms xmlns="http://schemas.microsoft.com/office/infopath/2007/PartnerControls"/>
    </lcf76f155ced4ddcb4097134ff3c332f>
    <SharedWithUsers xmlns="c7fc7845-db9b-43ce-aae6-d5b1cef6895c">
      <UserInfo>
        <DisplayName>Christophe PLATEL</DisplayName>
        <AccountId>72</AccountId>
        <AccountType/>
      </UserInfo>
      <UserInfo>
        <DisplayName>Média Paléo</DisplayName>
        <AccountId>793</AccountId>
        <AccountType/>
      </UserInfo>
      <UserInfo>
        <DisplayName>Presse@paleo.ch</DisplayName>
        <AccountId>800</AccountId>
        <AccountType/>
      </UserInfo>
      <UserInfo>
        <DisplayName>Malika DJEHICHE</DisplayName>
        <AccountId>276</AccountId>
        <AccountType/>
      </UserInfo>
      <UserInfo>
        <DisplayName>Michèle MÜLLER</DisplayName>
        <AccountId>56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F2A01F43089C45A88560D47CC17652" ma:contentTypeVersion="18" ma:contentTypeDescription="Crée un document." ma:contentTypeScope="" ma:versionID="024594f8b36fb1b5cf437ce061d0146a">
  <xsd:schema xmlns:xsd="http://www.w3.org/2001/XMLSchema" xmlns:xs="http://www.w3.org/2001/XMLSchema" xmlns:p="http://schemas.microsoft.com/office/2006/metadata/properties" xmlns:ns2="849af248-afc5-4274-81e2-3a489a8759ff" xmlns:ns3="c7fc7845-db9b-43ce-aae6-d5b1cef6895c" targetNamespace="http://schemas.microsoft.com/office/2006/metadata/properties" ma:root="true" ma:fieldsID="d9418b4f5aa79e57553235563da3adf0" ns2:_="" ns3:_="">
    <xsd:import namespace="849af248-afc5-4274-81e2-3a489a8759ff"/>
    <xsd:import namespace="c7fc7845-db9b-43ce-aae6-d5b1cef689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af248-afc5-4274-81e2-3a489a8759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bfb08b4c-0b40-46a2-8bcc-dd5ed2c5e8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c7845-db9b-43ce-aae6-d5b1cef6895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5650426-2e1c-4e8d-9613-0ea967575d13}" ma:internalName="TaxCatchAll" ma:showField="CatchAllData" ma:web="c7fc7845-db9b-43ce-aae6-d5b1cef689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4AA0DB-AE4F-4333-AC16-D49240DD4D4A}">
  <ds:schemaRefs>
    <ds:schemaRef ds:uri="http://purl.org/dc/dcmitype/"/>
    <ds:schemaRef ds:uri="849af248-afc5-4274-81e2-3a489a8759ff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c7fc7845-db9b-43ce-aae6-d5b1cef6895c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6D2265C-589B-4784-BBD8-83631A88CA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af248-afc5-4274-81e2-3a489a8759ff"/>
    <ds:schemaRef ds:uri="c7fc7845-db9b-43ce-aae6-d5b1cef689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ACF598-18E0-4DC7-83FB-D34FC7BFC7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scene</vt:lpstr>
      <vt:lpstr>scene!Print_Area</vt:lpstr>
      <vt:lpstr>scene!Print_Titles</vt:lpstr>
    </vt:vector>
  </TitlesOfParts>
  <Manager/>
  <Company>Festival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Francois</dc:creator>
  <cp:keywords/>
  <dc:description/>
  <cp:lastModifiedBy>Sébastien SCHIESSER</cp:lastModifiedBy>
  <cp:revision/>
  <cp:lastPrinted>2026-06-12T08:43:49Z</cp:lastPrinted>
  <dcterms:created xsi:type="dcterms:W3CDTF">2002-06-19T12:52:57Z</dcterms:created>
  <dcterms:modified xsi:type="dcterms:W3CDTF">2026-06-28T17:07:02Z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0x01010069F2A01F43089C45A88560D47CC17652</vt:lpwstr>
  </property>
  <property fmtid="{D5CDD505-2E9C-101B-9397-08002B2CF9AE}" pid="3" name="AuthorIds_UIVersion_5632">
    <vt:lpwstr>26</vt:lpwstr>
  </property>
  <property fmtid="{D5CDD505-2E9C-101B-9397-08002B2CF9AE}" pid="4" name="MediaServiceImageTags">
    <vt:lpwstr/>
  </property>
</Properties>
</file>