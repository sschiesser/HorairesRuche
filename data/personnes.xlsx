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A5CABD82-6FBA-4056-8295-0FEED94ED606}" xr6:coauthVersionLast="47" xr6:coauthVersionMax="47" xr10:uidLastSave="{00000000-0000-0000-0000-000000000000}"/>
  <bookViews>
    <workbookView xWindow="25490" yWindow="1480" windowWidth="19420" windowHeight="11500" xr2:uid="{00000000-000D-0000-FFFF-FFFF00000000}"/>
  </bookViews>
  <sheets>
    <sheet name="Personnes" sheetId="1" r:id="rId1"/>
    <sheet name="LOOKUP" sheetId="2" state="hidden" r:id="rId2"/>
  </sheets>
  <externalReferences>
    <externalReference r:id="rId3"/>
  </externalReferences>
  <calcPr calcId="191029" iterate="1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 a="1"/>
  <c r="C2" i="2" s="1"/>
  <c r="A2" i="2" a="1"/>
  <c r="A2" i="2" s="1"/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49" i="1"/>
  <c r="B49" i="1"/>
  <c r="C49" i="1"/>
  <c r="A50" i="1"/>
  <c r="B50" i="1"/>
  <c r="C50" i="1"/>
  <c r="A51" i="1"/>
  <c r="B51" i="1"/>
  <c r="C51" i="1"/>
  <c r="A52" i="1"/>
  <c r="B52" i="1"/>
  <c r="C52" i="1"/>
  <c r="A53" i="1"/>
  <c r="B53" i="1"/>
  <c r="C53" i="1"/>
  <c r="A54" i="1"/>
  <c r="B54" i="1"/>
  <c r="C54" i="1"/>
  <c r="A55" i="1"/>
  <c r="B55" i="1"/>
  <c r="C55" i="1"/>
  <c r="A56" i="1"/>
  <c r="B56" i="1"/>
  <c r="C56" i="1"/>
  <c r="A57" i="1"/>
  <c r="B57" i="1"/>
  <c r="C57" i="1"/>
  <c r="A58" i="1"/>
  <c r="B58" i="1"/>
  <c r="C58" i="1"/>
  <c r="A59" i="1"/>
  <c r="B59" i="1"/>
  <c r="C59" i="1"/>
  <c r="A60" i="1"/>
  <c r="B60" i="1"/>
  <c r="C60" i="1"/>
  <c r="A61" i="1"/>
  <c r="B61" i="1"/>
  <c r="C61" i="1"/>
  <c r="A62" i="1"/>
  <c r="B62" i="1"/>
  <c r="C62" i="1"/>
  <c r="A63" i="1"/>
  <c r="B63" i="1"/>
  <c r="C6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<sst xmlns="http://schemas.openxmlformats.org/spreadsheetml/2006/main" count="137" uniqueCount="16">
  <si>
    <t>Nom</t>
  </si>
  <si>
    <t>Capacités</t>
  </si>
  <si>
    <t>Prénom</t>
  </si>
  <si>
    <t>Fonction</t>
  </si>
  <si>
    <t>Accueil</t>
  </si>
  <si>
    <t>Horaires</t>
  </si>
  <si>
    <t>Bar loges</t>
  </si>
  <si>
    <t>Bar public</t>
  </si>
  <si>
    <t>Bourdon.ne</t>
  </si>
  <si>
    <t>Stageman</t>
  </si>
  <si>
    <t>Horaires, Bar public, Bar loges</t>
  </si>
  <si>
    <t>Rieger</t>
  </si>
  <si>
    <t>Maya</t>
  </si>
  <si>
    <t>Artiste</t>
  </si>
  <si>
    <t>*</t>
  </si>
  <si>
    <t>FREEZE!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</si>
</sst>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3">
    <dxf>
      <fill>
        <patternFill>
          <bgColor theme="8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79998168889431442"/>
        </patternFill>
      </fill>
    </dxf>
    <dxf>
      <font>
        <strike val="0"/>
        <color rgb="FFFF0000"/>
      </font>
    </dxf>
    <dxf>
      <fill>
        <patternFill>
          <bgColor theme="8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10</xdr:col>
      <xdr:colOff>12700</xdr:colOff>
      <xdr:row>16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629EF2-86D8-4E80-8BBB-7F41216EC15F}"/>
            </a:ext>
          </a:extLst>
        </xdr:cNvPr>
        <xdr:cNvSpPr txBox="1"/>
      </xdr:nvSpPr>
      <xdr:spPr>
        <a:xfrm>
          <a:off x="5924550" y="184150"/>
          <a:ext cx="3282950" cy="2762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Personnes &amp;</a:t>
          </a:r>
          <a:r>
            <a:rPr lang="en-GB" sz="2400" b="1" u="sng" baseline="0"/>
            <a:t> capacités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une copie de "BENEVOLES26.xlsx"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Il est possible d'ajouter en fin de liste des noms supplémentaires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0" indent="0">
            <a:buFont typeface="Arial" panose="020B0604020202020204" pitchFamily="34" charset="0"/>
            <a:buNone/>
          </a:pPr>
          <a:r>
            <a:rPr lang="en-GB" sz="1100" b="1"/>
            <a:t>Règles</a:t>
          </a:r>
          <a:r>
            <a:rPr lang="en-GB" sz="1100" b="1" baseline="0"/>
            <a:t> pour les capacités :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/>
            <a:t>Une case vide ou comprenant</a:t>
          </a:r>
          <a:r>
            <a:rPr lang="en-GB" sz="1100" baseline="0"/>
            <a:t> "Tous", "Toutes" ou "*" signifie que la personne peut tout faire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Une personne avec une seule capacité n'est pas intégrée dans le solveur; elle s'auto-gère (p.ex. "Bourdon.ne" ou "Accueil")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Entrer les capacités de chacun.e séparées par une virgule. </a:t>
          </a:r>
          <a:r>
            <a:rPr lang="en-GB" sz="1100" b="1" baseline="0"/>
            <a:t>Attention à l'orthographe!</a:t>
          </a:r>
          <a:endParaRPr lang="en-GB" sz="1100" b="1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3">
          <cell r="B3" t="str">
            <v>In</v>
          </cell>
          <cell r="E3" t="str">
            <v>NOM</v>
          </cell>
          <cell r="F3" t="str">
            <v>PRÉNOM</v>
          </cell>
          <cell r="L3" t="str">
            <v>Fonction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  <cell r="L4" t="str">
            <v>Junior.e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  <cell r="L5" t="str">
            <v>Staff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  <cell r="L6" t="str">
            <v>Staff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  <cell r="L7" t="str">
            <v>Staff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  <cell r="L8" t="str">
            <v>Junior.e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  <cell r="L9" t="str">
            <v>Staff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  <cell r="L10" t="str">
            <v>Staff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  <cell r="L11" t="str">
            <v>Staff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  <cell r="L12" t="str">
            <v>Junior.e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  <cell r="L13" t="str">
            <v>Staff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  <cell r="L14" t="str">
            <v>Staff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  <cell r="L15" t="str">
            <v>Staff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  <cell r="L16" t="str">
            <v>Junior.e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  <cell r="L17" t="str">
            <v>Staff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  <cell r="L18" t="str">
            <v>Adjoint.e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  <cell r="L19" t="str">
            <v>Staff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  <cell r="L20" t="str">
            <v>Staff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  <cell r="L21" t="str">
            <v>Staff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  <cell r="L22" t="str">
            <v>Staff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  <cell r="L23" t="str">
            <v>Staff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  <cell r="L24" t="str">
            <v>Staff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  <cell r="L25" t="str">
            <v>Adjoint.e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  <cell r="L26" t="str">
            <v>Junior.e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  <cell r="L27" t="str">
            <v>Staff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  <cell r="L28" t="str">
            <v>Staff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  <cell r="L29" t="str">
            <v>Staff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  <cell r="L30" t="str">
            <v>Adjoint.e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  <cell r="L31" t="str">
            <v>Staff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  <cell r="L32" t="str">
            <v>Staff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  <cell r="L33" t="str">
            <v>Staff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  <cell r="L34" t="str">
            <v>Staff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  <cell r="L35" t="str">
            <v>Staff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  <cell r="L36" t="str">
            <v>Adjoint.e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  <cell r="L37" t="str">
            <v>Staff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  <cell r="L38" t="str">
            <v>Staff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  <cell r="L39" t="str">
            <v>Staff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  <cell r="L40" t="str">
            <v>Adjoint.e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  <cell r="L41" t="str">
            <v>Staff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  <cell r="L42" t="str">
            <v>Staff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  <cell r="L43" t="str">
            <v>Staff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  <cell r="L44" t="str">
            <v>Staff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  <cell r="L45" t="str">
            <v>Staff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  <cell r="L46" t="str">
            <v>Staff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  <cell r="L47" t="str">
            <v>Staff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  <cell r="L48" t="str">
            <v>Staff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  <cell r="L49" t="str">
            <v>Staff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  <cell r="L50" t="str">
            <v>Staff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  <cell r="L51" t="str">
            <v>Staff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  <cell r="L52" t="str">
            <v>COF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  <cell r="L53" t="str">
            <v>Staff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  <cell r="L54" t="str">
            <v>Staff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  <cell r="L55" t="str">
            <v>Staff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  <cell r="L56" t="str">
            <v>Staff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  <cell r="L57" t="str">
            <v>COF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  <cell r="L58" t="str">
            <v>Adjoint.e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  <cell r="L59" t="str">
            <v>Staff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  <cell r="L60" t="str">
            <v>Staff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  <cell r="L61" t="str">
            <v>Staff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  <cell r="L62" t="str">
            <v>Staff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  <cell r="L63" t="str">
            <v>Staff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  <cell r="L64" t="str">
            <v>Staff</v>
          </cell>
        </row>
        <row r="65">
          <cell r="B65" t="b">
            <v>1</v>
          </cell>
          <cell r="E65" t="str">
            <v>Ménard</v>
          </cell>
          <cell r="F65" t="str">
            <v>Mireille</v>
          </cell>
          <cell r="L65" t="str">
            <v>Staff</v>
          </cell>
        </row>
        <row r="66">
          <cell r="B66" t="b">
            <v>0</v>
          </cell>
          <cell r="E66" t="str">
            <v>Delassus</v>
          </cell>
          <cell r="F66" t="str">
            <v>Frank</v>
          </cell>
          <cell r="L66" t="str">
            <v>Artiste</v>
          </cell>
        </row>
        <row r="67">
          <cell r="B67" t="b">
            <v>0</v>
          </cell>
          <cell r="E67" t="str">
            <v>Rieger</v>
          </cell>
          <cell r="F67" t="str">
            <v>Maya</v>
          </cell>
          <cell r="L67" t="str">
            <v>Artiste</v>
          </cell>
        </row>
        <row r="68">
          <cell r="B68" t="b">
            <v>0</v>
          </cell>
          <cell r="E68" t="str">
            <v>Michel</v>
          </cell>
          <cell r="F68" t="str">
            <v>Mehdi</v>
          </cell>
          <cell r="L68" t="str">
            <v>Artiste</v>
          </cell>
        </row>
        <row r="69">
          <cell r="B69" t="b">
            <v>0</v>
          </cell>
          <cell r="E69" t="str">
            <v>Pieper</v>
          </cell>
          <cell r="F69" t="str">
            <v>Giulia</v>
          </cell>
        </row>
        <row r="70">
          <cell r="B70" t="b">
            <v>0</v>
          </cell>
          <cell r="E70" t="str">
            <v>Durand</v>
          </cell>
          <cell r="F70" t="str">
            <v>Isidore</v>
          </cell>
        </row>
        <row r="71">
          <cell r="B71" t="b">
            <v>0</v>
          </cell>
          <cell r="E71" t="str">
            <v>Lemay</v>
          </cell>
          <cell r="F71" t="str">
            <v>Mae</v>
          </cell>
        </row>
        <row r="72">
          <cell r="B72" t="b">
            <v>0</v>
          </cell>
          <cell r="F72" t="str">
            <v>Michelle-Evy</v>
          </cell>
        </row>
        <row r="73">
          <cell r="B73" t="b">
            <v>0</v>
          </cell>
          <cell r="E73" t="str">
            <v>Bonay</v>
          </cell>
          <cell r="F73" t="str">
            <v>Paul</v>
          </cell>
        </row>
        <row r="74">
          <cell r="B74" t="b">
            <v>0</v>
          </cell>
          <cell r="E74" t="str">
            <v>Lagier</v>
          </cell>
          <cell r="F74" t="str">
            <v>Tician</v>
          </cell>
        </row>
        <row r="75">
          <cell r="B75" t="b">
            <v>0</v>
          </cell>
          <cell r="E75" t="str">
            <v>Carrière</v>
          </cell>
          <cell r="F75" t="str">
            <v>Zellie</v>
          </cell>
        </row>
        <row r="76">
          <cell r="B76" t="b">
            <v>0</v>
          </cell>
          <cell r="E76" t="str">
            <v>Goumaz</v>
          </cell>
          <cell r="F76" t="str">
            <v>Alexandre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64"/>
  <sheetViews>
    <sheetView tabSelected="1" topLeftCell="A10" workbookViewId="0">
      <selection activeCell="D20" sqref="D20"/>
    </sheetView>
  </sheetViews>
  <sheetFormatPr defaultRowHeight="14.6" x14ac:dyDescent="0.4"/>
  <cols>
    <col min="1" max="3" width="14.4609375" customWidth="1"/>
    <col min="4" max="4" width="40" customWidth="1"/>
    <col min="5" max="5" width="4.23046875" customWidth="1"/>
    <col min="11" max="11" width="4" customWidth="1"/>
  </cols>
  <sheetData>
    <row r="1" spans="1:12" s="1" customFormat="1" x14ac:dyDescent="0.4">
      <c r="A1" s="1" t="s">
        <v>0</v>
      </c>
      <c r="B1" s="1" t="s">
        <v>2</v>
      </c>
      <c r="C1" s="1" t="s">
        <v>3</v>
      </c>
      <c r="D1" s="1" t="s">
        <v>1</v>
      </c>
    </row>
    <row r="2" spans="1:12" x14ac:dyDescent="0.4">
      <c r="A2" t="str">
        <f>IF($L$3,A2,LOOKUP!A2)</f>
        <v>Bouvet</v>
      </c>
      <c r="B2" t="str">
        <f>IF($L$3,B2,LOOKUP!B2)</f>
        <v>Agathe</v>
      </c>
      <c r="C2" t="str">
        <f>IF($L$3,C2,LOOKUP!C2)</f>
        <v>Junior.e</v>
      </c>
      <c r="D2" t="s">
        <v>14</v>
      </c>
      <c r="L2" s="3" t="s">
        <v>15</v>
      </c>
    </row>
    <row r="3" spans="1:12" x14ac:dyDescent="0.4">
      <c r="A3" t="str">
        <f>IF($L$3,A3,LOOKUP!A3)</f>
        <v>Bulka</v>
      </c>
      <c r="B3" t="str">
        <f>IF($L$3,B3,LOOKUP!B3)</f>
        <v>Alegria Lily</v>
      </c>
      <c r="C3" t="str">
        <f>IF($L$3,C3,LOOKUP!C3)</f>
        <v>Staff</v>
      </c>
      <c r="D3" t="s">
        <v>14</v>
      </c>
      <c r="L3" s="2" t="b">
        <v>0</v>
      </c>
    </row>
    <row r="4" spans="1:12" x14ac:dyDescent="0.4">
      <c r="A4" t="str">
        <f>IF($L$3,A4,LOOKUP!A4)</f>
        <v>Bastian</v>
      </c>
      <c r="B4" t="str">
        <f>IF($L$3,B4,LOOKUP!B4)</f>
        <v>Alexandra</v>
      </c>
      <c r="C4" t="str">
        <f>IF($L$3,C4,LOOKUP!C4)</f>
        <v>Staff</v>
      </c>
      <c r="D4" t="s">
        <v>14</v>
      </c>
    </row>
    <row r="5" spans="1:12" x14ac:dyDescent="0.4">
      <c r="A5" t="str">
        <f>IF($L$3,A5,LOOKUP!A5)</f>
        <v>L'Horset</v>
      </c>
      <c r="B5" t="str">
        <f>IF($L$3,B5,LOOKUP!B5)</f>
        <v>Alice</v>
      </c>
      <c r="C5" t="str">
        <f>IF($L$3,C5,LOOKUP!C5)</f>
        <v>Staff</v>
      </c>
      <c r="D5" t="s">
        <v>14</v>
      </c>
    </row>
    <row r="6" spans="1:12" x14ac:dyDescent="0.4">
      <c r="A6" t="str">
        <f>IF($L$3,A6,LOOKUP!A6)</f>
        <v>Ledru</v>
      </c>
      <c r="B6" t="str">
        <f>IF($L$3,B6,LOOKUP!B6)</f>
        <v>Analou</v>
      </c>
      <c r="C6" t="str">
        <f>IF($L$3,C6,LOOKUP!C6)</f>
        <v>Junior.e</v>
      </c>
      <c r="D6" t="s">
        <v>14</v>
      </c>
    </row>
    <row r="7" spans="1:12" x14ac:dyDescent="0.4">
      <c r="A7" t="str">
        <f>IF($L$3,A7,LOOKUP!A7)</f>
        <v>Mallet</v>
      </c>
      <c r="B7" t="str">
        <f>IF($L$3,B7,LOOKUP!B7)</f>
        <v>Anna</v>
      </c>
      <c r="C7" t="str">
        <f>IF($L$3,C7,LOOKUP!C7)</f>
        <v>Staff</v>
      </c>
      <c r="D7" t="s">
        <v>14</v>
      </c>
    </row>
    <row r="8" spans="1:12" x14ac:dyDescent="0.4">
      <c r="A8" t="str">
        <f>IF($L$3,A8,LOOKUP!A8)</f>
        <v>Malric</v>
      </c>
      <c r="B8" t="str">
        <f>IF($L$3,B8,LOOKUP!B8)</f>
        <v>Annouk</v>
      </c>
      <c r="C8" t="str">
        <f>IF($L$3,C8,LOOKUP!C8)</f>
        <v>Staff</v>
      </c>
      <c r="D8" t="s">
        <v>14</v>
      </c>
    </row>
    <row r="9" spans="1:12" x14ac:dyDescent="0.4">
      <c r="A9" t="str">
        <f>IF($L$3,A9,LOOKUP!A9)</f>
        <v>Noël</v>
      </c>
      <c r="B9" t="str">
        <f>IF($L$3,B9,LOOKUP!B9)</f>
        <v>Antonin</v>
      </c>
      <c r="C9" t="str">
        <f>IF($L$3,C9,LOOKUP!C9)</f>
        <v>Staff</v>
      </c>
      <c r="D9" t="s">
        <v>14</v>
      </c>
    </row>
    <row r="10" spans="1:12" x14ac:dyDescent="0.4">
      <c r="A10" t="str">
        <f>IF($L$3,A10,LOOKUP!A10)</f>
        <v>Tessier</v>
      </c>
      <c r="B10" t="str">
        <f>IF($L$3,B10,LOOKUP!B10)</f>
        <v>Arsène</v>
      </c>
      <c r="C10" t="str">
        <f>IF($L$3,C10,LOOKUP!C10)</f>
        <v>Junior.e</v>
      </c>
      <c r="D10" t="s">
        <v>14</v>
      </c>
    </row>
    <row r="11" spans="1:12" x14ac:dyDescent="0.4">
      <c r="A11" t="str">
        <f>IF($L$3,A11,LOOKUP!A11)</f>
        <v>Uldry</v>
      </c>
      <c r="B11" t="str">
        <f>IF($L$3,B11,LOOKUP!B11)</f>
        <v>Arthur</v>
      </c>
      <c r="C11" t="str">
        <f>IF($L$3,C11,LOOKUP!C11)</f>
        <v>Staff</v>
      </c>
      <c r="D11" t="s">
        <v>14</v>
      </c>
    </row>
    <row r="12" spans="1:12" x14ac:dyDescent="0.4">
      <c r="A12" t="str">
        <f>IF($L$3,A12,LOOKUP!A12)</f>
        <v>Marchand</v>
      </c>
      <c r="B12" t="str">
        <f>IF($L$3,B12,LOOKUP!B12)</f>
        <v>Athénaé</v>
      </c>
      <c r="C12" t="str">
        <f>IF($L$3,C12,LOOKUP!C12)</f>
        <v>Staff</v>
      </c>
      <c r="D12" t="s">
        <v>14</v>
      </c>
    </row>
    <row r="13" spans="1:12" x14ac:dyDescent="0.4">
      <c r="A13" t="str">
        <f>IF($L$3,A13,LOOKUP!A13)</f>
        <v>Magerand</v>
      </c>
      <c r="B13" t="str">
        <f>IF($L$3,B13,LOOKUP!B13)</f>
        <v>Auxence</v>
      </c>
      <c r="C13" t="str">
        <f>IF($L$3,C13,LOOKUP!C13)</f>
        <v>Staff</v>
      </c>
      <c r="D13" t="s">
        <v>14</v>
      </c>
    </row>
    <row r="14" spans="1:12" x14ac:dyDescent="0.4">
      <c r="A14" t="str">
        <f>IF($L$3,A14,LOOKUP!A14)</f>
        <v>Baruch</v>
      </c>
      <c r="B14" t="str">
        <f>IF($L$3,B14,LOOKUP!B14)</f>
        <v>Ava</v>
      </c>
      <c r="C14" t="str">
        <f>IF($L$3,C14,LOOKUP!C14)</f>
        <v>Junior.e</v>
      </c>
      <c r="D14" t="s">
        <v>14</v>
      </c>
    </row>
    <row r="15" spans="1:12" x14ac:dyDescent="0.4">
      <c r="A15" t="str">
        <f>IF($L$3,A15,LOOKUP!A15)</f>
        <v>Detrain</v>
      </c>
      <c r="B15" t="str">
        <f>IF($L$3,B15,LOOKUP!B15)</f>
        <v>Benoît</v>
      </c>
      <c r="C15" t="str">
        <f>IF($L$3,C15,LOOKUP!C15)</f>
        <v>Staff</v>
      </c>
      <c r="D15" t="s">
        <v>8</v>
      </c>
    </row>
    <row r="16" spans="1:12" x14ac:dyDescent="0.4">
      <c r="A16" t="str">
        <f>IF($L$3,A16,LOOKUP!A16)</f>
        <v>Meige</v>
      </c>
      <c r="B16" t="str">
        <f>IF($L$3,B16,LOOKUP!B16)</f>
        <v>Corentin</v>
      </c>
      <c r="C16" t="str">
        <f>IF($L$3,C16,LOOKUP!C16)</f>
        <v>Adjoint.e</v>
      </c>
      <c r="D16" t="s">
        <v>14</v>
      </c>
    </row>
    <row r="17" spans="1:4" x14ac:dyDescent="0.4">
      <c r="A17" t="str">
        <f>IF($L$3,A17,LOOKUP!A17)</f>
        <v>De Filippo</v>
      </c>
      <c r="B17" t="str">
        <f>IF($L$3,B17,LOOKUP!B17)</f>
        <v>Emma</v>
      </c>
      <c r="C17" t="str">
        <f>IF($L$3,C17,LOOKUP!C17)</f>
        <v>Staff</v>
      </c>
      <c r="D17" t="s">
        <v>14</v>
      </c>
    </row>
    <row r="18" spans="1:4" x14ac:dyDescent="0.4">
      <c r="A18" t="str">
        <f>IF($L$3,A18,LOOKUP!A18)</f>
        <v>Maître</v>
      </c>
      <c r="B18" t="str">
        <f>IF($L$3,B18,LOOKUP!B18)</f>
        <v>Enzo</v>
      </c>
      <c r="C18" t="str">
        <f>IF($L$3,C18,LOOKUP!C18)</f>
        <v>Staff</v>
      </c>
      <c r="D18" t="s">
        <v>14</v>
      </c>
    </row>
    <row r="19" spans="1:4" x14ac:dyDescent="0.4">
      <c r="A19" t="str">
        <f>IF($L$3,A19,LOOKUP!A19)</f>
        <v>Prouvost</v>
      </c>
      <c r="B19" t="str">
        <f>IF($L$3,B19,LOOKUP!B19)</f>
        <v>Eugénie</v>
      </c>
      <c r="C19" t="str">
        <f>IF($L$3,C19,LOOKUP!C19)</f>
        <v>Staff</v>
      </c>
      <c r="D19" t="s">
        <v>5</v>
      </c>
    </row>
    <row r="20" spans="1:4" x14ac:dyDescent="0.4">
      <c r="A20" t="str">
        <f>IF($L$3,A20,LOOKUP!A20)</f>
        <v xml:space="preserve">Rakotonandrasana </v>
      </c>
      <c r="B20" t="str">
        <f>IF($L$3,B20,LOOKUP!B20)</f>
        <v>Iris</v>
      </c>
      <c r="C20" t="str">
        <f>IF($L$3,C20,LOOKUP!C20)</f>
        <v>Staff</v>
      </c>
      <c r="D20" t="s">
        <v>14</v>
      </c>
    </row>
    <row r="21" spans="1:4" x14ac:dyDescent="0.4">
      <c r="A21" t="str">
        <f>IF($L$3,A21,LOOKUP!A21)</f>
        <v>Bürgisser</v>
      </c>
      <c r="B21" t="str">
        <f>IF($L$3,B21,LOOKUP!B21)</f>
        <v>Jamilah</v>
      </c>
      <c r="C21" t="str">
        <f>IF($L$3,C21,LOOKUP!C21)</f>
        <v>Staff</v>
      </c>
      <c r="D21" t="s">
        <v>6</v>
      </c>
    </row>
    <row r="22" spans="1:4" x14ac:dyDescent="0.4">
      <c r="A22" t="str">
        <f>IF($L$3,A22,LOOKUP!A22)</f>
        <v>Ruscio</v>
      </c>
      <c r="B22" t="str">
        <f>IF($L$3,B22,LOOKUP!B22)</f>
        <v>Jolan</v>
      </c>
      <c r="C22" t="str">
        <f>IF($L$3,C22,LOOKUP!C22)</f>
        <v>Staff</v>
      </c>
      <c r="D22" t="s">
        <v>14</v>
      </c>
    </row>
    <row r="23" spans="1:4" x14ac:dyDescent="0.4">
      <c r="A23" t="str">
        <f>IF($L$3,A23,LOOKUP!A23)</f>
        <v>Wuilloud</v>
      </c>
      <c r="B23" t="str">
        <f>IF($L$3,B23,LOOKUP!B23)</f>
        <v xml:space="preserve">Jonas </v>
      </c>
      <c r="C23" t="str">
        <f>IF($L$3,C23,LOOKUP!C23)</f>
        <v>Adjoint.e</v>
      </c>
      <c r="D23" t="s">
        <v>7</v>
      </c>
    </row>
    <row r="24" spans="1:4" x14ac:dyDescent="0.4">
      <c r="A24" t="str">
        <f>IF($L$3,A24,LOOKUP!A24)</f>
        <v>Pirolley</v>
      </c>
      <c r="B24" t="str">
        <f>IF($L$3,B24,LOOKUP!B24)</f>
        <v>Jules</v>
      </c>
      <c r="C24" t="str">
        <f>IF($L$3,C24,LOOKUP!C24)</f>
        <v>Junior.e</v>
      </c>
      <c r="D24" t="s">
        <v>14</v>
      </c>
    </row>
    <row r="25" spans="1:4" x14ac:dyDescent="0.4">
      <c r="A25" t="str">
        <f>IF($L$3,A25,LOOKUP!A25)</f>
        <v>Chavaillaz</v>
      </c>
      <c r="B25" t="str">
        <f>IF($L$3,B25,LOOKUP!B25)</f>
        <v>Julie</v>
      </c>
      <c r="C25" t="str">
        <f>IF($L$3,C25,LOOKUP!C25)</f>
        <v>Staff</v>
      </c>
      <c r="D25" t="s">
        <v>4</v>
      </c>
    </row>
    <row r="26" spans="1:4" x14ac:dyDescent="0.4">
      <c r="A26" t="str">
        <f>IF($L$3,A26,LOOKUP!A26)</f>
        <v>Oeschger</v>
      </c>
      <c r="B26" t="str">
        <f>IF($L$3,B26,LOOKUP!B26)</f>
        <v>Kristel</v>
      </c>
      <c r="C26" t="str">
        <f>IF($L$3,C26,LOOKUP!C26)</f>
        <v>Staff</v>
      </c>
      <c r="D26" t="s">
        <v>7</v>
      </c>
    </row>
    <row r="27" spans="1:4" x14ac:dyDescent="0.4">
      <c r="A27" t="str">
        <f>IF($L$3,A27,LOOKUP!A27)</f>
        <v>Baltzinger</v>
      </c>
      <c r="B27" t="str">
        <f>IF($L$3,B27,LOOKUP!B27)</f>
        <v>Léa</v>
      </c>
      <c r="C27" t="str">
        <f>IF($L$3,C27,LOOKUP!C27)</f>
        <v>Staff</v>
      </c>
      <c r="D27" t="s">
        <v>14</v>
      </c>
    </row>
    <row r="28" spans="1:4" x14ac:dyDescent="0.4">
      <c r="A28" t="str">
        <f>IF($L$3,A28,LOOKUP!A28)</f>
        <v>Chambaz</v>
      </c>
      <c r="B28" t="str">
        <f>IF($L$3,B28,LOOKUP!B28)</f>
        <v>Léa</v>
      </c>
      <c r="C28" t="str">
        <f>IF($L$3,C28,LOOKUP!C28)</f>
        <v>Adjoint.e</v>
      </c>
      <c r="D28" t="s">
        <v>14</v>
      </c>
    </row>
    <row r="29" spans="1:4" x14ac:dyDescent="0.4">
      <c r="A29" t="str">
        <f>IF($L$3,A29,LOOKUP!A29)</f>
        <v>Ledru</v>
      </c>
      <c r="B29" t="str">
        <f>IF($L$3,B29,LOOKUP!B29)</f>
        <v>Lina-Rosa</v>
      </c>
      <c r="C29" t="str">
        <f>IF($L$3,C29,LOOKUP!C29)</f>
        <v>Staff</v>
      </c>
      <c r="D29" t="s">
        <v>14</v>
      </c>
    </row>
    <row r="30" spans="1:4" x14ac:dyDescent="0.4">
      <c r="A30" t="str">
        <f>IF($L$3,A30,LOOKUP!A30)</f>
        <v>Jaquet</v>
      </c>
      <c r="B30" t="str">
        <f>IF($L$3,B30,LOOKUP!B30)</f>
        <v>Lisa</v>
      </c>
      <c r="C30" t="str">
        <f>IF($L$3,C30,LOOKUP!C30)</f>
        <v>Staff</v>
      </c>
      <c r="D30" t="s">
        <v>14</v>
      </c>
    </row>
    <row r="31" spans="1:4" x14ac:dyDescent="0.4">
      <c r="A31" t="str">
        <f>IF($L$3,A31,LOOKUP!A31)</f>
        <v>Magnin</v>
      </c>
      <c r="B31" t="str">
        <f>IF($L$3,B31,LOOKUP!B31)</f>
        <v>Lisa</v>
      </c>
      <c r="C31" t="str">
        <f>IF($L$3,C31,LOOKUP!C31)</f>
        <v>Staff</v>
      </c>
      <c r="D31" t="s">
        <v>4</v>
      </c>
    </row>
    <row r="32" spans="1:4" x14ac:dyDescent="0.4">
      <c r="A32" t="str">
        <f>IF($L$3,A32,LOOKUP!A32)</f>
        <v>Cardis</v>
      </c>
      <c r="B32" t="str">
        <f>IF($L$3,B32,LOOKUP!B32)</f>
        <v>Louis</v>
      </c>
      <c r="C32" t="str">
        <f>IF($L$3,C32,LOOKUP!C32)</f>
        <v>Staff</v>
      </c>
      <c r="D32" t="s">
        <v>14</v>
      </c>
    </row>
    <row r="33" spans="1:4" x14ac:dyDescent="0.4">
      <c r="A33" t="str">
        <f>IF($L$3,A33,LOOKUP!A33)</f>
        <v>Post</v>
      </c>
      <c r="B33" t="str">
        <f>IF($L$3,B33,LOOKUP!B33)</f>
        <v>Louis</v>
      </c>
      <c r="C33" t="str">
        <f>IF($L$3,C33,LOOKUP!C33)</f>
        <v>Staff</v>
      </c>
      <c r="D33" t="s">
        <v>14</v>
      </c>
    </row>
    <row r="34" spans="1:4" x14ac:dyDescent="0.4">
      <c r="A34" t="str">
        <f>IF($L$3,A34,LOOKUP!A34)</f>
        <v>Blanchard</v>
      </c>
      <c r="B34" t="str">
        <f>IF($L$3,B34,LOOKUP!B34)</f>
        <v>Louise</v>
      </c>
      <c r="C34" t="str">
        <f>IF($L$3,C34,LOOKUP!C34)</f>
        <v>Adjoint.e</v>
      </c>
      <c r="D34" t="s">
        <v>8</v>
      </c>
    </row>
    <row r="35" spans="1:4" x14ac:dyDescent="0.4">
      <c r="A35" t="str">
        <f>IF($L$3,A35,LOOKUP!A35)</f>
        <v>Chastroux</v>
      </c>
      <c r="B35" t="str">
        <f>IF($L$3,B35,LOOKUP!B35)</f>
        <v>Lucas</v>
      </c>
      <c r="C35" t="str">
        <f>IF($L$3,C35,LOOKUP!C35)</f>
        <v>Staff</v>
      </c>
      <c r="D35" t="s">
        <v>14</v>
      </c>
    </row>
    <row r="36" spans="1:4" x14ac:dyDescent="0.4">
      <c r="A36" t="str">
        <f>IF($L$3,A36,LOOKUP!A36)</f>
        <v>Meyer</v>
      </c>
      <c r="B36" t="str">
        <f>IF($L$3,B36,LOOKUP!B36)</f>
        <v>Lucie</v>
      </c>
      <c r="C36" t="str">
        <f>IF($L$3,C36,LOOKUP!C36)</f>
        <v>Staff</v>
      </c>
      <c r="D36" t="s">
        <v>14</v>
      </c>
    </row>
    <row r="37" spans="1:4" x14ac:dyDescent="0.4">
      <c r="A37" t="str">
        <f>IF($L$3,A37,LOOKUP!A37)</f>
        <v>Ménétrey</v>
      </c>
      <c r="B37" t="str">
        <f>IF($L$3,B37,LOOKUP!B37)</f>
        <v>Maëlan</v>
      </c>
      <c r="C37" t="str">
        <f>IF($L$3,C37,LOOKUP!C37)</f>
        <v>Staff</v>
      </c>
      <c r="D37" t="s">
        <v>14</v>
      </c>
    </row>
    <row r="38" spans="1:4" x14ac:dyDescent="0.4">
      <c r="A38" t="str">
        <f>IF($L$3,A38,LOOKUP!A38)</f>
        <v>Chambaz</v>
      </c>
      <c r="B38" t="str">
        <f>IF($L$3,B38,LOOKUP!B38)</f>
        <v>Maëlle</v>
      </c>
      <c r="C38" t="str">
        <f>IF($L$3,C38,LOOKUP!C38)</f>
        <v>Adjoint.e</v>
      </c>
      <c r="D38" t="s">
        <v>5</v>
      </c>
    </row>
    <row r="39" spans="1:4" x14ac:dyDescent="0.4">
      <c r="A39" t="str">
        <f>IF($L$3,A39,LOOKUP!A39)</f>
        <v>Felix</v>
      </c>
      <c r="B39" t="str">
        <f>IF($L$3,B39,LOOKUP!B39)</f>
        <v>Marius</v>
      </c>
      <c r="C39" t="str">
        <f>IF($L$3,C39,LOOKUP!C39)</f>
        <v>Staff</v>
      </c>
      <c r="D39" t="s">
        <v>9</v>
      </c>
    </row>
    <row r="40" spans="1:4" x14ac:dyDescent="0.4">
      <c r="A40" t="str">
        <f>IF($L$3,A40,LOOKUP!A40)</f>
        <v>Ledru</v>
      </c>
      <c r="B40" t="str">
        <f>IF($L$3,B40,LOOKUP!B40)</f>
        <v>Marot</v>
      </c>
      <c r="C40" t="str">
        <f>IF($L$3,C40,LOOKUP!C40)</f>
        <v>Staff</v>
      </c>
      <c r="D40" t="s">
        <v>14</v>
      </c>
    </row>
    <row r="41" spans="1:4" x14ac:dyDescent="0.4">
      <c r="A41" t="str">
        <f>IF($L$3,A41,LOOKUP!A41)</f>
        <v>Cuinet</v>
      </c>
      <c r="B41" t="str">
        <f>IF($L$3,B41,LOOKUP!B41)</f>
        <v>Mathis</v>
      </c>
      <c r="C41" t="str">
        <f>IF($L$3,C41,LOOKUP!C41)</f>
        <v>Staff</v>
      </c>
      <c r="D41" t="s">
        <v>14</v>
      </c>
    </row>
    <row r="42" spans="1:4" x14ac:dyDescent="0.4">
      <c r="A42" t="str">
        <f>IF($L$3,A42,LOOKUP!A42)</f>
        <v>Gavin</v>
      </c>
      <c r="B42" t="str">
        <f>IF($L$3,B42,LOOKUP!B42)</f>
        <v>Matteo</v>
      </c>
      <c r="C42" t="str">
        <f>IF($L$3,C42,LOOKUP!C42)</f>
        <v>Staff</v>
      </c>
      <c r="D42" t="s">
        <v>6</v>
      </c>
    </row>
    <row r="43" spans="1:4" x14ac:dyDescent="0.4">
      <c r="A43" t="str">
        <f>IF($L$3,A43,LOOKUP!A43)</f>
        <v>Debray</v>
      </c>
      <c r="B43" t="str">
        <f>IF($L$3,B43,LOOKUP!B43)</f>
        <v>Maxime</v>
      </c>
      <c r="C43" t="str">
        <f>IF($L$3,C43,LOOKUP!C43)</f>
        <v>Staff</v>
      </c>
      <c r="D43" t="s">
        <v>9</v>
      </c>
    </row>
    <row r="44" spans="1:4" x14ac:dyDescent="0.4">
      <c r="A44" t="str">
        <f>IF($L$3,A44,LOOKUP!A44)</f>
        <v>Corbelli</v>
      </c>
      <c r="B44" t="str">
        <f>IF($L$3,B44,LOOKUP!B44)</f>
        <v>Maya</v>
      </c>
      <c r="C44" t="str">
        <f>IF($L$3,C44,LOOKUP!C44)</f>
        <v>Staff</v>
      </c>
      <c r="D44" t="s">
        <v>14</v>
      </c>
    </row>
    <row r="45" spans="1:4" x14ac:dyDescent="0.4">
      <c r="A45" t="str">
        <f>IF($L$3,A45,LOOKUP!A45)</f>
        <v>Pasche</v>
      </c>
      <c r="B45" t="str">
        <f>IF($L$3,B45,LOOKUP!B45)</f>
        <v>Mickaël</v>
      </c>
      <c r="C45" t="str">
        <f>IF($L$3,C45,LOOKUP!C45)</f>
        <v>Staff</v>
      </c>
      <c r="D45" t="s">
        <v>14</v>
      </c>
    </row>
    <row r="46" spans="1:4" x14ac:dyDescent="0.4">
      <c r="A46" t="str">
        <f>IF($L$3,A46,LOOKUP!A46)</f>
        <v>Fargues</v>
      </c>
      <c r="B46" t="str">
        <f>IF($L$3,B46,LOOKUP!B46)</f>
        <v>Morgana</v>
      </c>
      <c r="C46" t="str">
        <f>IF($L$3,C46,LOOKUP!C46)</f>
        <v>Staff</v>
      </c>
      <c r="D46" t="s">
        <v>14</v>
      </c>
    </row>
    <row r="47" spans="1:4" x14ac:dyDescent="0.4">
      <c r="A47" t="str">
        <f>IF($L$3,A47,LOOKUP!A47)</f>
        <v>Scyboz (Lambelet)</v>
      </c>
      <c r="B47" t="str">
        <f>IF($L$3,B47,LOOKUP!B47)</f>
        <v>Morgane</v>
      </c>
      <c r="C47" t="str">
        <f>IF($L$3,C47,LOOKUP!C47)</f>
        <v>Staff</v>
      </c>
      <c r="D47" t="s">
        <v>14</v>
      </c>
    </row>
    <row r="48" spans="1:4" x14ac:dyDescent="0.4">
      <c r="A48" t="str">
        <f>IF($L$3,A48,LOOKUP!A48)</f>
        <v>Koux</v>
      </c>
      <c r="B48" t="str">
        <f>IF($L$3,B48,LOOKUP!B48)</f>
        <v>Nathalia</v>
      </c>
      <c r="C48" t="str">
        <f>IF($L$3,C48,LOOKUP!C48)</f>
        <v>Staff</v>
      </c>
      <c r="D48" t="s">
        <v>14</v>
      </c>
    </row>
    <row r="49" spans="1:4" x14ac:dyDescent="0.4">
      <c r="A49" t="str">
        <f>IF($L$3,A49,LOOKUP!A49)</f>
        <v>Cherpillod</v>
      </c>
      <c r="B49" t="str">
        <f>IF($L$3,B49,LOOKUP!B49)</f>
        <v>Noah</v>
      </c>
      <c r="C49" t="str">
        <f>IF($L$3,C49,LOOKUP!C49)</f>
        <v>Staff</v>
      </c>
      <c r="D49" t="s">
        <v>14</v>
      </c>
    </row>
    <row r="50" spans="1:4" x14ac:dyDescent="0.4">
      <c r="A50" t="str">
        <f>IF($L$3,A50,LOOKUP!A50)</f>
        <v>Chambaz</v>
      </c>
      <c r="B50" t="str">
        <f>IF($L$3,B50,LOOKUP!B50)</f>
        <v>Patrick</v>
      </c>
      <c r="C50" t="str">
        <f>IF($L$3,C50,LOOKUP!C50)</f>
        <v>COF</v>
      </c>
    </row>
    <row r="51" spans="1:4" x14ac:dyDescent="0.4">
      <c r="A51" t="str">
        <f>IF($L$3,A51,LOOKUP!A51)</f>
        <v>Assaoui</v>
      </c>
      <c r="B51" t="str">
        <f>IF($L$3,B51,LOOKUP!B51)</f>
        <v>Rama</v>
      </c>
      <c r="C51" t="str">
        <f>IF($L$3,C51,LOOKUP!C51)</f>
        <v>Staff</v>
      </c>
      <c r="D51" t="s">
        <v>14</v>
      </c>
    </row>
    <row r="52" spans="1:4" x14ac:dyDescent="0.4">
      <c r="A52" t="str">
        <f>IF($L$3,A52,LOOKUP!A52)</f>
        <v>Lacroze</v>
      </c>
      <c r="B52" t="str">
        <f>IF($L$3,B52,LOOKUP!B52)</f>
        <v>Raphaël</v>
      </c>
      <c r="C52" t="str">
        <f>IF($L$3,C52,LOOKUP!C52)</f>
        <v>Staff</v>
      </c>
      <c r="D52" t="s">
        <v>14</v>
      </c>
    </row>
    <row r="53" spans="1:4" x14ac:dyDescent="0.4">
      <c r="A53" t="str">
        <f>IF($L$3,A53,LOOKUP!A53)</f>
        <v>Neidhart</v>
      </c>
      <c r="B53" t="str">
        <f>IF($L$3,B53,LOOKUP!B53)</f>
        <v>Raphaëlle</v>
      </c>
      <c r="C53" t="str">
        <f>IF($L$3,C53,LOOKUP!C53)</f>
        <v>Staff</v>
      </c>
      <c r="D53" t="s">
        <v>14</v>
      </c>
    </row>
    <row r="54" spans="1:4" x14ac:dyDescent="0.4">
      <c r="A54" t="str">
        <f>IF($L$3,A54,LOOKUP!A54)</f>
        <v xml:space="preserve">Lanni </v>
      </c>
      <c r="B54" t="str">
        <f>IF($L$3,B54,LOOKUP!B54)</f>
        <v>Roxanne</v>
      </c>
      <c r="C54" t="str">
        <f>IF($L$3,C54,LOOKUP!C54)</f>
        <v>Staff</v>
      </c>
      <c r="D54" t="s">
        <v>14</v>
      </c>
    </row>
    <row r="55" spans="1:4" x14ac:dyDescent="0.4">
      <c r="A55" t="str">
        <f>IF($L$3,A55,LOOKUP!A55)</f>
        <v>Schiesser</v>
      </c>
      <c r="B55" t="str">
        <f>IF($L$3,B55,LOOKUP!B55)</f>
        <v>Sébastien</v>
      </c>
      <c r="C55" t="str">
        <f>IF($L$3,C55,LOOKUP!C55)</f>
        <v>COF</v>
      </c>
    </row>
    <row r="56" spans="1:4" x14ac:dyDescent="0.4">
      <c r="A56" t="str">
        <f>IF($L$3,A56,LOOKUP!A56)</f>
        <v>Lambelet</v>
      </c>
      <c r="B56" t="str">
        <f>IF($L$3,B56,LOOKUP!B56)</f>
        <v>Simon</v>
      </c>
      <c r="C56" t="str">
        <f>IF($L$3,C56,LOOKUP!C56)</f>
        <v>Adjoint.e</v>
      </c>
      <c r="D56" t="s">
        <v>14</v>
      </c>
    </row>
    <row r="57" spans="1:4" x14ac:dyDescent="0.4">
      <c r="A57" t="str">
        <f>IF($L$3,A57,LOOKUP!A57)</f>
        <v>Cyprien</v>
      </c>
      <c r="B57" t="str">
        <f>IF($L$3,B57,LOOKUP!B57)</f>
        <v>Theo</v>
      </c>
      <c r="C57" t="str">
        <f>IF($L$3,C57,LOOKUP!C57)</f>
        <v>Staff</v>
      </c>
      <c r="D57" t="s">
        <v>14</v>
      </c>
    </row>
    <row r="58" spans="1:4" x14ac:dyDescent="0.4">
      <c r="A58" t="str">
        <f>IF($L$3,A58,LOOKUP!A58)</f>
        <v>Clerici</v>
      </c>
      <c r="B58" t="str">
        <f>IF($L$3,B58,LOOKUP!B58)</f>
        <v>Thibault</v>
      </c>
      <c r="C58" t="str">
        <f>IF($L$3,C58,LOOKUP!C58)</f>
        <v>Staff</v>
      </c>
      <c r="D58" t="s">
        <v>14</v>
      </c>
    </row>
    <row r="59" spans="1:4" x14ac:dyDescent="0.4">
      <c r="A59" t="str">
        <f>IF($L$3,A59,LOOKUP!A59)</f>
        <v>Ménétrey</v>
      </c>
      <c r="B59" t="str">
        <f>IF($L$3,B59,LOOKUP!B59)</f>
        <v>Titouan</v>
      </c>
      <c r="C59" t="str">
        <f>IF($L$3,C59,LOOKUP!C59)</f>
        <v>Staff</v>
      </c>
      <c r="D59" t="s">
        <v>14</v>
      </c>
    </row>
    <row r="60" spans="1:4" x14ac:dyDescent="0.4">
      <c r="A60" t="str">
        <f>IF($L$3,A60,LOOKUP!A60)</f>
        <v>Clerici</v>
      </c>
      <c r="B60" t="str">
        <f>IF($L$3,B60,LOOKUP!B60)</f>
        <v>Tristan</v>
      </c>
      <c r="C60" t="str">
        <f>IF($L$3,C60,LOOKUP!C60)</f>
        <v>Staff</v>
      </c>
      <c r="D60" t="s">
        <v>14</v>
      </c>
    </row>
    <row r="61" spans="1:4" x14ac:dyDescent="0.4">
      <c r="A61" t="str">
        <f>IF($L$3,A61,LOOKUP!A61)</f>
        <v>Bally</v>
      </c>
      <c r="B61" t="str">
        <f>IF($L$3,B61,LOOKUP!B61)</f>
        <v>Yann</v>
      </c>
      <c r="C61" t="str">
        <f>IF($L$3,C61,LOOKUP!C61)</f>
        <v>Staff</v>
      </c>
      <c r="D61" t="s">
        <v>14</v>
      </c>
    </row>
    <row r="62" spans="1:4" x14ac:dyDescent="0.4">
      <c r="A62" t="str">
        <f>IF($L$3,A62,LOOKUP!A62)</f>
        <v>Ménétrey</v>
      </c>
      <c r="B62" t="str">
        <f>IF($L$3,B62,LOOKUP!B62)</f>
        <v>Ysatis</v>
      </c>
      <c r="C62" t="str">
        <f>IF($L$3,C62,LOOKUP!C62)</f>
        <v>Staff</v>
      </c>
      <c r="D62" t="s">
        <v>14</v>
      </c>
    </row>
    <row r="63" spans="1:4" x14ac:dyDescent="0.4">
      <c r="A63" t="str">
        <f>IF($L$3,A63,LOOKUP!A63)</f>
        <v>Ménard</v>
      </c>
      <c r="B63" t="str">
        <f>IF($L$3,B63,LOOKUP!B63)</f>
        <v>Mireille</v>
      </c>
      <c r="C63" t="str">
        <f>IF($L$3,C63,LOOKUP!C63)</f>
        <v>Staff</v>
      </c>
      <c r="D63" t="s">
        <v>14</v>
      </c>
    </row>
    <row r="64" spans="1:4" x14ac:dyDescent="0.4">
      <c r="A64" t="s">
        <v>11</v>
      </c>
      <c r="B64" t="s">
        <v>12</v>
      </c>
      <c r="C64" t="s">
        <v>13</v>
      </c>
      <c r="D64" t="s">
        <v>14</v>
      </c>
    </row>
  </sheetData>
  <sheetProtection sheet="1" objects="1" scenarios="1"/>
  <protectedRanges>
    <protectedRange sqref="D1:D1048576" name="Capacités"/>
  </protectedRanges>
  <conditionalFormatting sqref="A2:XFD67">
    <cfRule type="expression" dxfId="12" priority="2">
      <formula>AND(MOD(ROW(),2)=0,$C2="Artiste")</formula>
    </cfRule>
    <cfRule type="expression" dxfId="11" priority="3">
      <formula>AND(MOD(ROW(),2)=1,$C2="Artiste")</formula>
    </cfRule>
    <cfRule type="expression" dxfId="10" priority="4">
      <formula>AND(MOD(ROW(),2)=1,$C2="Junior.e")</formula>
    </cfRule>
    <cfRule type="expression" dxfId="9" priority="5">
      <formula>AND(MOD(ROW(),2)=0,$C2="Junior.e")</formula>
    </cfRule>
    <cfRule type="expression" dxfId="8" priority="6">
      <formula>AND(MOD(ROW(),2)=0,(OR($C2="Staff",$C2="Adjoint.e",$C2="COF")))</formula>
    </cfRule>
    <cfRule type="expression" dxfId="7" priority="7">
      <formula>AND(MOD(ROW(),2)=1,(OR($C2="Staff",$C2="Adjoint.e",$C2="COF")))</formula>
    </cfRule>
  </conditionalFormatting>
  <conditionalFormatting sqref="L2:L3">
    <cfRule type="expression" dxfId="6" priority="1">
      <formula>$L$3=TRUE</formula>
    </cfRule>
  </conditionalFormatting>
  <pageMargins left="0.75" right="0.75" top="1" bottom="1" header="0.5" footer="0.5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C82D2-536C-412D-A536-F57D990253F2}">
  <sheetPr codeName="Sheet2"/>
  <dimension ref="A1:D64"/>
  <sheetViews>
    <sheetView workbookViewId="0">
      <selection activeCell="H17" sqref="H17"/>
    </sheetView>
  </sheetViews>
  <sheetFormatPr defaultRowHeight="14.6" x14ac:dyDescent="0.4"/>
  <cols>
    <col min="1" max="3" width="14.4609375" customWidth="1"/>
    <col min="4" max="4" width="40" customWidth="1"/>
    <col min="5" max="5" width="4.23046875" customWidth="1"/>
  </cols>
  <sheetData>
    <row r="1" spans="1:4" s="1" customFormat="1" x14ac:dyDescent="0.4">
      <c r="A1" s="1" t="s">
        <v>0</v>
      </c>
      <c r="B1" s="1" t="s">
        <v>2</v>
      </c>
      <c r="C1" s="1" t="s">
        <v>3</v>
      </c>
      <c r="D1" s="1" t="s">
        <v>1</v>
      </c>
    </row>
    <row r="2" spans="1:4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C2" t="str" cm="1">
        <f t="array" ref="C2:C63">_xlfn._xlws.FILTER('[1]Bénévoles 2026 V2'!$L:$L,'[1]Bénévoles 2026 V2'!$B:$B=TRUE)</f>
        <v>Junior.e</v>
      </c>
      <c r="D2" t="s">
        <v>14</v>
      </c>
    </row>
    <row r="3" spans="1:4" x14ac:dyDescent="0.4">
      <c r="A3" t="str">
        <v>Bulka</v>
      </c>
      <c r="B3" t="str">
        <v>Alegria Lily</v>
      </c>
      <c r="C3" t="str">
        <v>Staff</v>
      </c>
      <c r="D3" t="s">
        <v>14</v>
      </c>
    </row>
    <row r="4" spans="1:4" x14ac:dyDescent="0.4">
      <c r="A4" t="str">
        <v>Bastian</v>
      </c>
      <c r="B4" t="str">
        <v>Alexandra</v>
      </c>
      <c r="C4" t="str">
        <v>Staff</v>
      </c>
      <c r="D4" t="s">
        <v>14</v>
      </c>
    </row>
    <row r="5" spans="1:4" x14ac:dyDescent="0.4">
      <c r="A5" t="str">
        <v>L'Horset</v>
      </c>
      <c r="B5" t="str">
        <v>Alice</v>
      </c>
      <c r="C5" t="str">
        <v>Staff</v>
      </c>
      <c r="D5" t="s">
        <v>14</v>
      </c>
    </row>
    <row r="6" spans="1:4" x14ac:dyDescent="0.4">
      <c r="A6" t="str">
        <v>Ledru</v>
      </c>
      <c r="B6" t="str">
        <v>Analou</v>
      </c>
      <c r="C6" t="str">
        <v>Junior.e</v>
      </c>
      <c r="D6" t="s">
        <v>14</v>
      </c>
    </row>
    <row r="7" spans="1:4" x14ac:dyDescent="0.4">
      <c r="A7" t="str">
        <v>Mallet</v>
      </c>
      <c r="B7" t="str">
        <v>Anna</v>
      </c>
      <c r="C7" t="str">
        <v>Staff</v>
      </c>
      <c r="D7" t="s">
        <v>14</v>
      </c>
    </row>
    <row r="8" spans="1:4" x14ac:dyDescent="0.4">
      <c r="A8" t="str">
        <v>Malric</v>
      </c>
      <c r="B8" t="str">
        <v>Annouk</v>
      </c>
      <c r="C8" t="str">
        <v>Staff</v>
      </c>
      <c r="D8" t="s">
        <v>14</v>
      </c>
    </row>
    <row r="9" spans="1:4" x14ac:dyDescent="0.4">
      <c r="A9" t="str">
        <v>Noël</v>
      </c>
      <c r="B9" t="str">
        <v>Antonin</v>
      </c>
      <c r="C9" t="str">
        <v>Staff</v>
      </c>
      <c r="D9" t="s">
        <v>14</v>
      </c>
    </row>
    <row r="10" spans="1:4" x14ac:dyDescent="0.4">
      <c r="A10" t="str">
        <v>Tessier</v>
      </c>
      <c r="B10" t="str">
        <v>Arsène</v>
      </c>
      <c r="C10" t="str">
        <v>Junior.e</v>
      </c>
      <c r="D10" t="s">
        <v>14</v>
      </c>
    </row>
    <row r="11" spans="1:4" x14ac:dyDescent="0.4">
      <c r="A11" t="str">
        <v>Uldry</v>
      </c>
      <c r="B11" t="str">
        <v>Arthur</v>
      </c>
      <c r="C11" t="str">
        <v>Staff</v>
      </c>
      <c r="D11" t="s">
        <v>14</v>
      </c>
    </row>
    <row r="12" spans="1:4" x14ac:dyDescent="0.4">
      <c r="A12" t="str">
        <v>Marchand</v>
      </c>
      <c r="B12" t="str">
        <v>Athénaé</v>
      </c>
      <c r="C12" t="str">
        <v>Staff</v>
      </c>
      <c r="D12" t="s">
        <v>14</v>
      </c>
    </row>
    <row r="13" spans="1:4" x14ac:dyDescent="0.4">
      <c r="A13" t="str">
        <v>Magerand</v>
      </c>
      <c r="B13" t="str">
        <v>Auxence</v>
      </c>
      <c r="C13" t="str">
        <v>Staff</v>
      </c>
      <c r="D13" t="s">
        <v>14</v>
      </c>
    </row>
    <row r="14" spans="1:4" x14ac:dyDescent="0.4">
      <c r="A14" t="str">
        <v>Baruch</v>
      </c>
      <c r="B14" t="str">
        <v>Ava</v>
      </c>
      <c r="C14" t="str">
        <v>Junior.e</v>
      </c>
      <c r="D14" t="s">
        <v>14</v>
      </c>
    </row>
    <row r="15" spans="1:4" x14ac:dyDescent="0.4">
      <c r="A15" t="str">
        <v>Detrain</v>
      </c>
      <c r="B15" t="str">
        <v>Benoît</v>
      </c>
      <c r="C15" t="str">
        <v>Staff</v>
      </c>
      <c r="D15" t="s">
        <v>8</v>
      </c>
    </row>
    <row r="16" spans="1:4" x14ac:dyDescent="0.4">
      <c r="A16" t="str">
        <v>Meige</v>
      </c>
      <c r="B16" t="str">
        <v>Corentin</v>
      </c>
      <c r="C16" t="str">
        <v>Adjoint.e</v>
      </c>
      <c r="D16" t="s">
        <v>14</v>
      </c>
    </row>
    <row r="17" spans="1:4" x14ac:dyDescent="0.4">
      <c r="A17" t="str">
        <v>De Filippo</v>
      </c>
      <c r="B17" t="str">
        <v>Emma</v>
      </c>
      <c r="C17" t="str">
        <v>Staff</v>
      </c>
      <c r="D17" t="s">
        <v>14</v>
      </c>
    </row>
    <row r="18" spans="1:4" x14ac:dyDescent="0.4">
      <c r="A18" t="str">
        <v>Maître</v>
      </c>
      <c r="B18" t="str">
        <v>Enzo</v>
      </c>
      <c r="C18" t="str">
        <v>Staff</v>
      </c>
      <c r="D18" t="s">
        <v>14</v>
      </c>
    </row>
    <row r="19" spans="1:4" x14ac:dyDescent="0.4">
      <c r="A19" t="str">
        <v>Prouvost</v>
      </c>
      <c r="B19" t="str">
        <v>Eugénie</v>
      </c>
      <c r="C19" t="str">
        <v>Staff</v>
      </c>
      <c r="D19" t="s">
        <v>10</v>
      </c>
    </row>
    <row r="20" spans="1:4" x14ac:dyDescent="0.4">
      <c r="A20" t="str">
        <v xml:space="preserve">Rakotonandrasana </v>
      </c>
      <c r="B20" t="str">
        <v>Iris</v>
      </c>
      <c r="C20" t="str">
        <v>Staff</v>
      </c>
      <c r="D20" t="s">
        <v>14</v>
      </c>
    </row>
    <row r="21" spans="1:4" x14ac:dyDescent="0.4">
      <c r="A21" t="str">
        <v>Bürgisser</v>
      </c>
      <c r="B21" t="str">
        <v>Jamilah</v>
      </c>
      <c r="C21" t="str">
        <v>Staff</v>
      </c>
      <c r="D21" t="s">
        <v>6</v>
      </c>
    </row>
    <row r="22" spans="1:4" x14ac:dyDescent="0.4">
      <c r="A22" t="str">
        <v>Ruscio</v>
      </c>
      <c r="B22" t="str">
        <v>Jolan</v>
      </c>
      <c r="C22" t="str">
        <v>Staff</v>
      </c>
      <c r="D22" t="s">
        <v>14</v>
      </c>
    </row>
    <row r="23" spans="1:4" x14ac:dyDescent="0.4">
      <c r="A23" t="str">
        <v>Wuilloud</v>
      </c>
      <c r="B23" t="str">
        <v xml:space="preserve">Jonas </v>
      </c>
      <c r="C23" t="str">
        <v>Adjoint.e</v>
      </c>
      <c r="D23" t="s">
        <v>7</v>
      </c>
    </row>
    <row r="24" spans="1:4" x14ac:dyDescent="0.4">
      <c r="A24" t="str">
        <v>Pirolley</v>
      </c>
      <c r="B24" t="str">
        <v>Jules</v>
      </c>
      <c r="C24" t="str">
        <v>Junior.e</v>
      </c>
      <c r="D24" t="s">
        <v>14</v>
      </c>
    </row>
    <row r="25" spans="1:4" x14ac:dyDescent="0.4">
      <c r="A25" t="str">
        <v>Chavaillaz</v>
      </c>
      <c r="B25" t="str">
        <v>Julie</v>
      </c>
      <c r="C25" t="str">
        <v>Staff</v>
      </c>
      <c r="D25" t="s">
        <v>4</v>
      </c>
    </row>
    <row r="26" spans="1:4" x14ac:dyDescent="0.4">
      <c r="A26" t="str">
        <v>Oeschger</v>
      </c>
      <c r="B26" t="str">
        <v>Kristel</v>
      </c>
      <c r="C26" t="str">
        <v>Staff</v>
      </c>
      <c r="D26" t="s">
        <v>7</v>
      </c>
    </row>
    <row r="27" spans="1:4" x14ac:dyDescent="0.4">
      <c r="A27" t="str">
        <v>Baltzinger</v>
      </c>
      <c r="B27" t="str">
        <v>Léa</v>
      </c>
      <c r="C27" t="str">
        <v>Staff</v>
      </c>
      <c r="D27" t="s">
        <v>14</v>
      </c>
    </row>
    <row r="28" spans="1:4" x14ac:dyDescent="0.4">
      <c r="A28" t="str">
        <v>Chambaz</v>
      </c>
      <c r="B28" t="str">
        <v>Léa</v>
      </c>
      <c r="C28" t="str">
        <v>Adjoint.e</v>
      </c>
      <c r="D28" t="s">
        <v>14</v>
      </c>
    </row>
    <row r="29" spans="1:4" x14ac:dyDescent="0.4">
      <c r="A29" t="str">
        <v>Ledru</v>
      </c>
      <c r="B29" t="str">
        <v>Lina-Rosa</v>
      </c>
      <c r="C29" t="str">
        <v>Staff</v>
      </c>
      <c r="D29" t="s">
        <v>14</v>
      </c>
    </row>
    <row r="30" spans="1:4" x14ac:dyDescent="0.4">
      <c r="A30" t="str">
        <v>Jaquet</v>
      </c>
      <c r="B30" t="str">
        <v>Lisa</v>
      </c>
      <c r="C30" t="str">
        <v>Staff</v>
      </c>
      <c r="D30" t="s">
        <v>14</v>
      </c>
    </row>
    <row r="31" spans="1:4" x14ac:dyDescent="0.4">
      <c r="A31" t="str">
        <v>Magnin</v>
      </c>
      <c r="B31" t="str">
        <v>Lisa</v>
      </c>
      <c r="C31" t="str">
        <v>Staff</v>
      </c>
      <c r="D31" t="s">
        <v>4</v>
      </c>
    </row>
    <row r="32" spans="1:4" x14ac:dyDescent="0.4">
      <c r="A32" t="str">
        <v>Cardis</v>
      </c>
      <c r="B32" t="str">
        <v>Louis</v>
      </c>
      <c r="C32" t="str">
        <v>Staff</v>
      </c>
      <c r="D32" t="s">
        <v>14</v>
      </c>
    </row>
    <row r="33" spans="1:4" x14ac:dyDescent="0.4">
      <c r="A33" t="str">
        <v>Post</v>
      </c>
      <c r="B33" t="str">
        <v>Louis</v>
      </c>
      <c r="C33" t="str">
        <v>Staff</v>
      </c>
      <c r="D33" t="s">
        <v>14</v>
      </c>
    </row>
    <row r="34" spans="1:4" x14ac:dyDescent="0.4">
      <c r="A34" t="str">
        <v>Blanchard</v>
      </c>
      <c r="B34" t="str">
        <v>Louise</v>
      </c>
      <c r="C34" t="str">
        <v>Adjoint.e</v>
      </c>
      <c r="D34" t="s">
        <v>8</v>
      </c>
    </row>
    <row r="35" spans="1:4" x14ac:dyDescent="0.4">
      <c r="A35" t="str">
        <v>Chastroux</v>
      </c>
      <c r="B35" t="str">
        <v>Lucas</v>
      </c>
      <c r="C35" t="str">
        <v>Staff</v>
      </c>
      <c r="D35" t="s">
        <v>14</v>
      </c>
    </row>
    <row r="36" spans="1:4" x14ac:dyDescent="0.4">
      <c r="A36" t="str">
        <v>Meyer</v>
      </c>
      <c r="B36" t="str">
        <v>Lucie</v>
      </c>
      <c r="C36" t="str">
        <v>Staff</v>
      </c>
      <c r="D36" t="s">
        <v>14</v>
      </c>
    </row>
    <row r="37" spans="1:4" x14ac:dyDescent="0.4">
      <c r="A37" t="str">
        <v>Ménétrey</v>
      </c>
      <c r="B37" t="str">
        <v>Maëlan</v>
      </c>
      <c r="C37" t="str">
        <v>Staff</v>
      </c>
      <c r="D37" t="s">
        <v>14</v>
      </c>
    </row>
    <row r="38" spans="1:4" x14ac:dyDescent="0.4">
      <c r="A38" t="str">
        <v>Chambaz</v>
      </c>
      <c r="B38" t="str">
        <v>Maëlle</v>
      </c>
      <c r="C38" t="str">
        <v>Adjoint.e</v>
      </c>
      <c r="D38" t="s">
        <v>5</v>
      </c>
    </row>
    <row r="39" spans="1:4" x14ac:dyDescent="0.4">
      <c r="A39" t="str">
        <v>Felix</v>
      </c>
      <c r="B39" t="str">
        <v>Marius</v>
      </c>
      <c r="C39" t="str">
        <v>Staff</v>
      </c>
      <c r="D39" t="s">
        <v>9</v>
      </c>
    </row>
    <row r="40" spans="1:4" x14ac:dyDescent="0.4">
      <c r="A40" t="str">
        <v>Ledru</v>
      </c>
      <c r="B40" t="str">
        <v>Marot</v>
      </c>
      <c r="C40" t="str">
        <v>Staff</v>
      </c>
      <c r="D40" t="s">
        <v>14</v>
      </c>
    </row>
    <row r="41" spans="1:4" x14ac:dyDescent="0.4">
      <c r="A41" t="str">
        <v>Cuinet</v>
      </c>
      <c r="B41" t="str">
        <v>Mathis</v>
      </c>
      <c r="C41" t="str">
        <v>Staff</v>
      </c>
      <c r="D41" t="s">
        <v>14</v>
      </c>
    </row>
    <row r="42" spans="1:4" x14ac:dyDescent="0.4">
      <c r="A42" t="str">
        <v>Gavin</v>
      </c>
      <c r="B42" t="str">
        <v>Matteo</v>
      </c>
      <c r="C42" t="str">
        <v>Staff</v>
      </c>
      <c r="D42" t="s">
        <v>6</v>
      </c>
    </row>
    <row r="43" spans="1:4" x14ac:dyDescent="0.4">
      <c r="A43" t="str">
        <v>Debray</v>
      </c>
      <c r="B43" t="str">
        <v>Maxime</v>
      </c>
      <c r="C43" t="str">
        <v>Staff</v>
      </c>
      <c r="D43" t="s">
        <v>9</v>
      </c>
    </row>
    <row r="44" spans="1:4" x14ac:dyDescent="0.4">
      <c r="A44" t="str">
        <v>Corbelli</v>
      </c>
      <c r="B44" t="str">
        <v>Maya</v>
      </c>
      <c r="C44" t="str">
        <v>Staff</v>
      </c>
      <c r="D44" t="s">
        <v>14</v>
      </c>
    </row>
    <row r="45" spans="1:4" x14ac:dyDescent="0.4">
      <c r="A45" t="str">
        <v>Pasche</v>
      </c>
      <c r="B45" t="str">
        <v>Mickaël</v>
      </c>
      <c r="C45" t="str">
        <v>Staff</v>
      </c>
      <c r="D45" t="s">
        <v>14</v>
      </c>
    </row>
    <row r="46" spans="1:4" x14ac:dyDescent="0.4">
      <c r="A46" t="str">
        <v>Fargues</v>
      </c>
      <c r="B46" t="str">
        <v>Morgana</v>
      </c>
      <c r="C46" t="str">
        <v>Staff</v>
      </c>
      <c r="D46" t="s">
        <v>14</v>
      </c>
    </row>
    <row r="47" spans="1:4" x14ac:dyDescent="0.4">
      <c r="A47" t="str">
        <v>Scyboz (Lambelet)</v>
      </c>
      <c r="B47" t="str">
        <v>Morgane</v>
      </c>
      <c r="C47" t="str">
        <v>Staff</v>
      </c>
      <c r="D47" t="s">
        <v>14</v>
      </c>
    </row>
    <row r="48" spans="1:4" x14ac:dyDescent="0.4">
      <c r="A48" t="str">
        <v>Koux</v>
      </c>
      <c r="B48" t="str">
        <v>Nathalia</v>
      </c>
      <c r="C48" t="str">
        <v>Staff</v>
      </c>
      <c r="D48" t="s">
        <v>14</v>
      </c>
    </row>
    <row r="49" spans="1:4" x14ac:dyDescent="0.4">
      <c r="A49" t="str">
        <v>Cherpillod</v>
      </c>
      <c r="B49" t="str">
        <v>Noah</v>
      </c>
      <c r="C49" t="str">
        <v>Staff</v>
      </c>
      <c r="D49" t="s">
        <v>14</v>
      </c>
    </row>
    <row r="50" spans="1:4" x14ac:dyDescent="0.4">
      <c r="A50" t="str">
        <v>Chambaz</v>
      </c>
      <c r="B50" t="str">
        <v>Patrick</v>
      </c>
      <c r="C50" t="str">
        <v>COF</v>
      </c>
    </row>
    <row r="51" spans="1:4" x14ac:dyDescent="0.4">
      <c r="A51" t="str">
        <v>Assaoui</v>
      </c>
      <c r="B51" t="str">
        <v>Rama</v>
      </c>
      <c r="C51" t="str">
        <v>Staff</v>
      </c>
      <c r="D51" t="s">
        <v>14</v>
      </c>
    </row>
    <row r="52" spans="1:4" x14ac:dyDescent="0.4">
      <c r="A52" t="str">
        <v>Lacroze</v>
      </c>
      <c r="B52" t="str">
        <v>Raphaël</v>
      </c>
      <c r="C52" t="str">
        <v>Staff</v>
      </c>
      <c r="D52" t="s">
        <v>14</v>
      </c>
    </row>
    <row r="53" spans="1:4" x14ac:dyDescent="0.4">
      <c r="A53" t="str">
        <v>Neidhart</v>
      </c>
      <c r="B53" t="str">
        <v>Raphaëlle</v>
      </c>
      <c r="C53" t="str">
        <v>Staff</v>
      </c>
      <c r="D53" t="s">
        <v>14</v>
      </c>
    </row>
    <row r="54" spans="1:4" x14ac:dyDescent="0.4">
      <c r="A54" t="str">
        <v xml:space="preserve">Lanni </v>
      </c>
      <c r="B54" t="str">
        <v>Roxanne</v>
      </c>
      <c r="C54" t="str">
        <v>Staff</v>
      </c>
      <c r="D54" t="s">
        <v>14</v>
      </c>
    </row>
    <row r="55" spans="1:4" x14ac:dyDescent="0.4">
      <c r="A55" t="str">
        <v>Schiesser</v>
      </c>
      <c r="B55" t="str">
        <v>Sébastien</v>
      </c>
      <c r="C55" t="str">
        <v>COF</v>
      </c>
    </row>
    <row r="56" spans="1:4" x14ac:dyDescent="0.4">
      <c r="A56" t="str">
        <v>Lambelet</v>
      </c>
      <c r="B56" t="str">
        <v>Simon</v>
      </c>
      <c r="C56" t="str">
        <v>Adjoint.e</v>
      </c>
      <c r="D56" t="s">
        <v>14</v>
      </c>
    </row>
    <row r="57" spans="1:4" x14ac:dyDescent="0.4">
      <c r="A57" t="str">
        <v>Cyprien</v>
      </c>
      <c r="B57" t="str">
        <v>Theo</v>
      </c>
      <c r="C57" t="str">
        <v>Staff</v>
      </c>
      <c r="D57" t="s">
        <v>14</v>
      </c>
    </row>
    <row r="58" spans="1:4" x14ac:dyDescent="0.4">
      <c r="A58" t="str">
        <v>Clerici</v>
      </c>
      <c r="B58" t="str">
        <v>Thibault</v>
      </c>
      <c r="C58" t="str">
        <v>Staff</v>
      </c>
      <c r="D58" t="s">
        <v>14</v>
      </c>
    </row>
    <row r="59" spans="1:4" x14ac:dyDescent="0.4">
      <c r="A59" t="str">
        <v>Ménétrey</v>
      </c>
      <c r="B59" t="str">
        <v>Titouan</v>
      </c>
      <c r="C59" t="str">
        <v>Staff</v>
      </c>
      <c r="D59" t="s">
        <v>14</v>
      </c>
    </row>
    <row r="60" spans="1:4" x14ac:dyDescent="0.4">
      <c r="A60" t="str">
        <v>Clerici</v>
      </c>
      <c r="B60" t="str">
        <v>Tristan</v>
      </c>
      <c r="C60" t="str">
        <v>Staff</v>
      </c>
      <c r="D60" t="s">
        <v>14</v>
      </c>
    </row>
    <row r="61" spans="1:4" x14ac:dyDescent="0.4">
      <c r="A61" t="str">
        <v>Bally</v>
      </c>
      <c r="B61" t="str">
        <v>Yann</v>
      </c>
      <c r="C61" t="str">
        <v>Staff</v>
      </c>
      <c r="D61" t="s">
        <v>14</v>
      </c>
    </row>
    <row r="62" spans="1:4" x14ac:dyDescent="0.4">
      <c r="A62" t="str">
        <v>Ménétrey</v>
      </c>
      <c r="B62" t="str">
        <v>Ysatis</v>
      </c>
      <c r="C62" t="str">
        <v>Staff</v>
      </c>
      <c r="D62" t="s">
        <v>14</v>
      </c>
    </row>
    <row r="63" spans="1:4" x14ac:dyDescent="0.4">
      <c r="A63" t="str">
        <v>Ménard</v>
      </c>
      <c r="B63" t="str">
        <v>Mireille</v>
      </c>
      <c r="C63" t="str">
        <v>Staff</v>
      </c>
      <c r="D63" t="s">
        <v>14</v>
      </c>
    </row>
    <row r="64" spans="1:4" x14ac:dyDescent="0.4">
      <c r="A64" t="s">
        <v>11</v>
      </c>
      <c r="B64" t="s">
        <v>12</v>
      </c>
      <c r="C64" t="s">
        <v>13</v>
      </c>
      <c r="D64" t="s">
        <v>14</v>
      </c>
    </row>
  </sheetData>
  <protectedRanges>
    <protectedRange sqref="D1:D1048576" name="Capacités"/>
  </protectedRanges>
  <conditionalFormatting sqref="A2:XFD67">
    <cfRule type="expression" dxfId="5" priority="1">
      <formula>AND(MOD(ROW(),2)=0,$C2="Artiste")</formula>
    </cfRule>
    <cfRule type="expression" dxfId="4" priority="2">
      <formula>AND(MOD(ROW(),2)=1,$C2="Artiste")</formula>
    </cfRule>
    <cfRule type="expression" dxfId="3" priority="3">
      <formula>AND(MOD(ROW(),2)=1,$C2="Junior.e")</formula>
    </cfRule>
    <cfRule type="expression" dxfId="2" priority="4">
      <formula>AND(MOD(ROW(),2)=0,$C2="Junior.e")</formula>
    </cfRule>
    <cfRule type="expression" dxfId="1" priority="5">
      <formula>AND(MOD(ROW(),2)=0,(OR($C2="Staff",$C2="Adjoint.e",$C2="COF")))</formula>
    </cfRule>
    <cfRule type="expression" dxfId="0" priority="6">
      <formula>AND(MOD(ROW(),2)=1,(OR($C2="Staff",$C2="Adjoint.e",$C2="COF")))</formula>
    </cfRule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Personnes</vt:lpstr>
      <vt:lpstr>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2026-06-28T16:01:33Z</dcterms:modified>
</cp:coreProperties>
</file>