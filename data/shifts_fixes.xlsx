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0133B593-55BC-4A02-BC40-98F755DE6FC3}" xr6:coauthVersionLast="47" xr6:coauthVersionMax="47" xr10:uidLastSave="{00000000-0000-0000-0000-000000000000}"/>
  <bookViews>
    <workbookView xWindow="25490" yWindow="1480" windowWidth="19420" windowHeight="11500" xr2:uid="{00000000-000D-0000-FFFF-FFFF00000000}"/>
  </bookViews>
  <sheets>
    <sheet name="Mardi" sheetId="1" r:id="rId1"/>
    <sheet name="Mercredi" sheetId="3" r:id="rId2"/>
    <sheet name="Jeudi" sheetId="4" r:id="rId3"/>
    <sheet name="Vendredi" sheetId="5" r:id="rId4"/>
    <sheet name="Samedi" sheetId="6" r:id="rId5"/>
    <sheet name="Dimanche" sheetId="7" r:id="rId6"/>
    <sheet name="Taches" sheetId="2" r:id="rId7"/>
  </sheets>
  <externalReferences>
    <externalReference r:id="rId8"/>
    <externalReference r:id="rId9"/>
  </externalReferences>
  <definedNames>
    <definedName name="FromArray_1">_xlfn.ANCHORARRAY(Mardi!$A$2)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1" i="2"/>
  <c r="A12" i="2"/>
  <c r="A13" i="2"/>
  <c r="A14" i="2"/>
  <c r="A15" i="2"/>
  <c r="A16" i="2"/>
  <c r="A17" i="2"/>
  <c r="A18" i="2"/>
  <c r="A19" i="2"/>
  <c r="A20" i="2"/>
  <c r="A2" i="2"/>
  <c r="A2" i="7" a="1"/>
  <c r="A2" i="7" s="1"/>
  <c r="A2" i="6" a="1"/>
  <c r="A2" i="6" s="1"/>
  <c r="A2" i="5" a="1"/>
  <c r="A2" i="5" s="1"/>
  <c r="A2" i="4" a="1"/>
  <c r="A2" i="4" s="1"/>
  <c r="A2" i="3" a="1"/>
  <c r="A2" i="3" s="1"/>
  <c r="A1" i="2"/>
  <c r="A2" i="1" a="1"/>
  <c r="A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DF69FE-AE1D-4432-B3EA-5660AFEA46CA}" keepAlive="1" name="Query - FromArray_1" description="Connection to the 'FromArray_1' query in the workbook." type="5" refreshedVersion="0" background="1">
    <dbPr connection="Provider=Microsoft.Mashup.OleDb.1;Data Source=$Workbook$;Location=FromArray_1;Extended Properties=&quot;&quot;" command="SELECT * FROM [FromArray_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<sst xmlns="http://schemas.openxmlformats.org/spreadsheetml/2006/main" count="57" uniqueCount="12">
  <si>
    <t>Nom</t>
  </si>
  <si>
    <t>Prénom</t>
  </si>
  <si>
    <t>Tâche</t>
  </si>
  <si>
    <t>Début</t>
  </si>
  <si>
    <t>Fin</t>
  </si>
  <si>
    <t>Tech PCGB</t>
  </si>
  <si>
    <t>Tech Muchmuche</t>
  </si>
  <si>
    <t>Tech T'es rien…</t>
  </si>
  <si>
    <t>Bar public</t>
  </si>
  <si>
    <t>Bourdon.ne</t>
  </si>
  <si>
    <t>Stageman</t>
  </si>
  <si>
    <t>Tech Jacquard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</si>
</sst>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0" fontId="0" fillId="0" borderId="0" xfId="0" applyNumberForma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schies1\_code\1.09_VScode\06_VoeuxConcerts\data\plages_horaires.xlsx" TargetMode="External"/><Relationship Id="rId1" Type="http://schemas.openxmlformats.org/officeDocument/2006/relationships/externalLinkPath" Target="plages_horai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1">
          <cell r="B1"/>
          <cell r="E1"/>
          <cell r="F1"/>
        </row>
        <row r="2">
          <cell r="B2"/>
          <cell r="E2"/>
          <cell r="F2"/>
        </row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1</v>
          </cell>
          <cell r="E65" t="str">
            <v>Ménard</v>
          </cell>
          <cell r="F65" t="str">
            <v>Mireille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</row>
        <row r="70">
          <cell r="B70" t="b">
            <v>0</v>
          </cell>
          <cell r="E70" t="str">
            <v>Durand</v>
          </cell>
          <cell r="F70" t="str">
            <v>Isidore</v>
          </cell>
        </row>
        <row r="71">
          <cell r="B71" t="b">
            <v>0</v>
          </cell>
          <cell r="E71" t="str">
            <v>Lemay</v>
          </cell>
          <cell r="F71" t="str">
            <v>Mae</v>
          </cell>
        </row>
        <row r="72">
          <cell r="B72" t="b">
            <v>0</v>
          </cell>
          <cell r="E72"/>
          <cell r="F72" t="str">
            <v>Michelle-Evy</v>
          </cell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E93"/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  <row r="95">
          <cell r="B95"/>
          <cell r="E95"/>
          <cell r="F95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di"/>
      <sheetName val="Mercredi"/>
      <sheetName val="Jeudi"/>
      <sheetName val="Vendredi"/>
      <sheetName val="Samedi"/>
      <sheetName val="Dimanche"/>
      <sheetName val="Tâches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Tâches</v>
          </cell>
        </row>
        <row r="2">
          <cell r="A2" t="str">
            <v>Accueil</v>
          </cell>
        </row>
        <row r="3">
          <cell r="A3" t="str">
            <v>Abeilles Ruche</v>
          </cell>
        </row>
        <row r="4">
          <cell r="A4" t="str">
            <v>Ailes</v>
          </cell>
        </row>
        <row r="5">
          <cell r="A5" t="str">
            <v>Bar loges</v>
          </cell>
        </row>
        <row r="6">
          <cell r="A6" t="str">
            <v>Bar public</v>
          </cell>
        </row>
        <row r="7">
          <cell r="A7" t="str">
            <v>Bourdon.ne</v>
          </cell>
        </row>
        <row r="8">
          <cell r="A8" t="str">
            <v>Entrée backstage</v>
          </cell>
        </row>
        <row r="9">
          <cell r="A9" t="str">
            <v>Horaires</v>
          </cell>
        </row>
        <row r="10">
          <cell r="A10" t="str">
            <v>Déambule Gerry</v>
          </cell>
        </row>
        <row r="11">
          <cell r="A11" t="str">
            <v>Déambule Colbok</v>
          </cell>
        </row>
        <row r="12">
          <cell r="A12" t="str">
            <v>Déambule Goulus</v>
          </cell>
        </row>
        <row r="13">
          <cell r="A13" t="str">
            <v>Déambule Ko-compagnie</v>
          </cell>
        </row>
        <row r="14">
          <cell r="A14" t="str">
            <v>Déambule Spoutnik</v>
          </cell>
        </row>
        <row r="15">
          <cell r="A15" t="str">
            <v>Déambule FBI</v>
          </cell>
        </row>
        <row r="16">
          <cell r="A16" t="str">
            <v>Tech PCGB</v>
          </cell>
        </row>
        <row r="17">
          <cell r="A17" t="str">
            <v>Tech Jacquard</v>
          </cell>
        </row>
        <row r="18">
          <cell r="A18" t="str">
            <v>Tech Muchmuche</v>
          </cell>
        </row>
        <row r="19">
          <cell r="A19" t="str">
            <v>Tech T'es rien…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"/>
  <sheetViews>
    <sheetView tabSelected="1" zoomScale="115" zoomScaleNormal="115" workbookViewId="0">
      <pane ySplit="1" topLeftCell="A33" activePane="bottomLeft" state="frozen"/>
      <selection pane="bottomLeft" activeCell="D42" sqref="D42"/>
    </sheetView>
  </sheetViews>
  <sheetFormatPr defaultRowHeight="14.6" x14ac:dyDescent="0.4"/>
  <cols>
    <col min="1" max="2" width="14.921875" customWidth="1"/>
    <col min="3" max="3" width="11.765625" customWidth="1"/>
    <col min="4" max="5" width="9.23046875" style="2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</row>
    <row r="2" spans="1:5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  <c r="C15" t="s">
        <v>9</v>
      </c>
    </row>
    <row r="16" spans="1:5" x14ac:dyDescent="0.4">
      <c r="A16" t="str">
        <v>Meige</v>
      </c>
      <c r="B16" t="str">
        <v>Corentin</v>
      </c>
    </row>
    <row r="17" spans="1:3" x14ac:dyDescent="0.4">
      <c r="A17" t="str">
        <v>De Filippo</v>
      </c>
      <c r="B17" t="str">
        <v>Emma</v>
      </c>
    </row>
    <row r="18" spans="1:3" x14ac:dyDescent="0.4">
      <c r="A18" t="str">
        <v>Maître</v>
      </c>
      <c r="B18" t="str">
        <v>Enzo</v>
      </c>
    </row>
    <row r="19" spans="1:3" x14ac:dyDescent="0.4">
      <c r="A19" t="str">
        <v>Prouvost</v>
      </c>
      <c r="B19" t="str">
        <v>Eugénie</v>
      </c>
    </row>
    <row r="20" spans="1:3" x14ac:dyDescent="0.4">
      <c r="A20" t="str">
        <v xml:space="preserve">Rakotonandrasana </v>
      </c>
      <c r="B20" t="str">
        <v>Iris</v>
      </c>
    </row>
    <row r="21" spans="1:3" x14ac:dyDescent="0.4">
      <c r="A21" t="str">
        <v>Bürgisser</v>
      </c>
      <c r="B21" t="str">
        <v>Jamilah</v>
      </c>
    </row>
    <row r="22" spans="1:3" x14ac:dyDescent="0.4">
      <c r="A22" t="str">
        <v>Ruscio</v>
      </c>
      <c r="B22" t="str">
        <v>Jolan</v>
      </c>
    </row>
    <row r="23" spans="1:3" x14ac:dyDescent="0.4">
      <c r="A23" t="str">
        <v>Wuilloud</v>
      </c>
      <c r="B23" t="str">
        <v xml:space="preserve">Jonas </v>
      </c>
      <c r="C23" t="s">
        <v>8</v>
      </c>
    </row>
    <row r="24" spans="1:3" x14ac:dyDescent="0.4">
      <c r="A24" t="str">
        <v>Pirolley</v>
      </c>
      <c r="B24" t="str">
        <v>Jules</v>
      </c>
    </row>
    <row r="25" spans="1:3" x14ac:dyDescent="0.4">
      <c r="A25" t="str">
        <v>Chavaillaz</v>
      </c>
      <c r="B25" t="str">
        <v>Julie</v>
      </c>
    </row>
    <row r="26" spans="1:3" x14ac:dyDescent="0.4">
      <c r="A26" t="str">
        <v>Oeschger</v>
      </c>
      <c r="B26" t="str">
        <v>Kristel</v>
      </c>
      <c r="C26" t="s">
        <v>8</v>
      </c>
    </row>
    <row r="27" spans="1:3" x14ac:dyDescent="0.4">
      <c r="A27" t="str">
        <v>Baltzinger</v>
      </c>
      <c r="B27" t="str">
        <v>Léa</v>
      </c>
    </row>
    <row r="28" spans="1:3" x14ac:dyDescent="0.4">
      <c r="A28" t="str">
        <v>Chambaz</v>
      </c>
      <c r="B28" t="str">
        <v>Léa</v>
      </c>
    </row>
    <row r="29" spans="1:3" x14ac:dyDescent="0.4">
      <c r="A29" t="str">
        <v>Ledru</v>
      </c>
      <c r="B29" t="str">
        <v>Lina-Rosa</v>
      </c>
    </row>
    <row r="30" spans="1:3" x14ac:dyDescent="0.4">
      <c r="A30" t="str">
        <v>Jaquet</v>
      </c>
      <c r="B30" t="str">
        <v>Lisa</v>
      </c>
    </row>
    <row r="31" spans="1:3" x14ac:dyDescent="0.4">
      <c r="A31" t="str">
        <v>Magnin</v>
      </c>
      <c r="B31" t="str">
        <v>Lisa</v>
      </c>
    </row>
    <row r="32" spans="1:3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  <c r="C34" t="s">
        <v>9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  <c r="C36" t="s">
        <v>9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10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  <c r="C41" t="s">
        <v>11</v>
      </c>
      <c r="D41" s="2">
        <v>0.875</v>
      </c>
      <c r="E41" s="2">
        <v>0.95833333333333337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10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  <c r="C46" t="s">
        <v>5</v>
      </c>
      <c r="D46" s="2">
        <v>0.66666666666666663</v>
      </c>
      <c r="E46" s="2">
        <v>0.75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  <row r="63" spans="1:5" x14ac:dyDescent="0.4">
      <c r="A63" t="str">
        <v>Ménard</v>
      </c>
      <c r="B63" t="str">
        <v>Mireille</v>
      </c>
      <c r="C63" t="s">
        <v>6</v>
      </c>
      <c r="D63" s="2">
        <v>0.79166666666666663</v>
      </c>
      <c r="E63" s="2">
        <v>0.875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4F9546-D096-4E4D-8C52-00F41E3AF85B}">
          <x14:formula1>
            <xm:f>Taches!$A$2:$A$20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EC40D-93CA-4FCD-A6F8-28F80DC6C0B8}">
  <dimension ref="A1:E63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  <row r="63" spans="1:5" x14ac:dyDescent="0.4">
      <c r="A63" t="str">
        <v>Ménard</v>
      </c>
      <c r="B63" t="str">
        <v>Mireille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8DA555-F325-4E41-88C8-C31CF97FEC4E}">
          <x14:formula1>
            <xm:f>Taches!$A$2:$A$16</xm:f>
          </x14:formula1>
          <xm:sqref>C2:C62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62804-1233-4D8D-A119-6FEA62BCFE42}">
  <dimension ref="A1:E63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  <row r="63" spans="1:5" x14ac:dyDescent="0.4">
      <c r="A63" t="str">
        <v>Ménard</v>
      </c>
      <c r="B63" t="str">
        <v>Mireille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52DAFD-18A2-4A13-8446-2A68C51C1123}">
          <x14:formula1>
            <xm:f>Taches!$A$2:$A$16</xm:f>
          </x14:formula1>
          <xm:sqref>C2:C62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8EB70-D8FB-4222-91C3-0659002AC443}">
  <dimension ref="A1:E63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  <row r="63" spans="1:5" x14ac:dyDescent="0.4">
      <c r="A63" t="str">
        <v>Ménard</v>
      </c>
      <c r="B63" t="str">
        <v>Mireille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982F90-5317-4051-945D-FC1716C4ACE1}">
          <x14:formula1>
            <xm:f>Taches!$A$2:$A$16</xm:f>
          </x14:formula1>
          <xm:sqref>C2:C62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4AE93-50CA-4EB1-98E3-757ADDFDDBBD}">
  <dimension ref="A1:E63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  <row r="63" spans="1:5" x14ac:dyDescent="0.4">
      <c r="A63" t="str">
        <v>Ménard</v>
      </c>
      <c r="B63" t="str">
        <v>Mireille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D27922-CCA9-4DA0-AEDA-6FDF09745AD2}">
          <x14:formula1>
            <xm:f>Taches!$A$2:$A$16</xm:f>
          </x14:formula1>
          <xm:sqref>C2:C62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F37E-7321-434E-8400-31D7FE0BF594}">
  <dimension ref="A1:E63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  <row r="63" spans="1:5" x14ac:dyDescent="0.4">
      <c r="A63" t="str">
        <v>Ménard</v>
      </c>
      <c r="B63" t="str">
        <v>Mireille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7030CC-FCBC-4B51-8F31-91C3DF89EAA0}">
          <x14:formula1>
            <xm:f>Taches!$A$2:$A$16</xm:f>
          </x14:formula1>
          <xm:sqref>C2:C62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EFFCD-CA70-46B8-8E6B-FC87ED018E1A}">
  <dimension ref="A1:A20"/>
  <sheetViews>
    <sheetView workbookViewId="0">
      <selection activeCell="A11" sqref="A11"/>
    </sheetView>
  </sheetViews>
  <sheetFormatPr defaultRowHeight="14.6" x14ac:dyDescent="0.4"/>
  <cols>
    <col min="1" max="1" width="22.3828125" customWidth="1"/>
  </cols>
  <sheetData>
    <row r="1" spans="1:1" s="1" customFormat="1" x14ac:dyDescent="0.4">
      <c r="A1" s="1" t="str">
        <f>[2]Tâches!$A1</f>
        <v>Tâches</v>
      </c>
    </row>
    <row r="2" spans="1:1" x14ac:dyDescent="0.4">
      <c r="A2" t="str">
        <f>[2]Tâches!$A2</f>
        <v>Accueil</v>
      </c>
    </row>
    <row r="3" spans="1:1" x14ac:dyDescent="0.4">
      <c r="A3" t="str">
        <f>[2]Tâches!$A3</f>
        <v>Abeilles Ruche</v>
      </c>
    </row>
    <row r="4" spans="1:1" x14ac:dyDescent="0.4">
      <c r="A4" t="str">
        <f>[2]Tâches!$A4</f>
        <v>Ailes</v>
      </c>
    </row>
    <row r="5" spans="1:1" x14ac:dyDescent="0.4">
      <c r="A5" t="str">
        <f>[2]Tâches!$A5</f>
        <v>Bar loges</v>
      </c>
    </row>
    <row r="6" spans="1:1" x14ac:dyDescent="0.4">
      <c r="A6" t="str">
        <f>[2]Tâches!$A6</f>
        <v>Bar public</v>
      </c>
    </row>
    <row r="7" spans="1:1" x14ac:dyDescent="0.4">
      <c r="A7" t="str">
        <f>[2]Tâches!$A7</f>
        <v>Bourdon.ne</v>
      </c>
    </row>
    <row r="8" spans="1:1" x14ac:dyDescent="0.4">
      <c r="A8" t="str">
        <f>[2]Tâches!$A8</f>
        <v>Entrée backstage</v>
      </c>
    </row>
    <row r="9" spans="1:1" x14ac:dyDescent="0.4">
      <c r="A9" t="str">
        <f>[2]Tâches!$A9</f>
        <v>Horaires</v>
      </c>
    </row>
    <row r="10" spans="1:1" x14ac:dyDescent="0.4">
      <c r="A10" t="s">
        <v>10</v>
      </c>
    </row>
    <row r="11" spans="1:1" x14ac:dyDescent="0.4">
      <c r="A11" t="str">
        <f>[2]Tâches!$A10</f>
        <v>Déambule Gerry</v>
      </c>
    </row>
    <row r="12" spans="1:1" x14ac:dyDescent="0.4">
      <c r="A12" t="str">
        <f>[2]Tâches!$A11</f>
        <v>Déambule Colbok</v>
      </c>
    </row>
    <row r="13" spans="1:1" x14ac:dyDescent="0.4">
      <c r="A13" t="str">
        <f>[2]Tâches!$A12</f>
        <v>Déambule Goulus</v>
      </c>
    </row>
    <row r="14" spans="1:1" x14ac:dyDescent="0.4">
      <c r="A14" t="str">
        <f>[2]Tâches!$A13</f>
        <v>Déambule Ko-compagnie</v>
      </c>
    </row>
    <row r="15" spans="1:1" x14ac:dyDescent="0.4">
      <c r="A15" t="str">
        <f>[2]Tâches!$A14</f>
        <v>Déambule Spoutnik</v>
      </c>
    </row>
    <row r="16" spans="1:1" x14ac:dyDescent="0.4">
      <c r="A16" t="str">
        <f>[2]Tâches!$A15</f>
        <v>Déambule FBI</v>
      </c>
    </row>
    <row r="17" spans="1:1" x14ac:dyDescent="0.4">
      <c r="A17" t="str">
        <f>[2]Tâches!$A16</f>
        <v>Tech PCGB</v>
      </c>
    </row>
    <row r="18" spans="1:1" x14ac:dyDescent="0.4">
      <c r="A18" t="str">
        <f>[2]Tâches!$A17</f>
        <v>Tech Jacquard</v>
      </c>
    </row>
    <row r="19" spans="1:1" x14ac:dyDescent="0.4">
      <c r="A19" t="str">
        <f>[2]Tâches!$A18</f>
        <v>Tech Muchmuche</v>
      </c>
    </row>
    <row r="20" spans="1:1" x14ac:dyDescent="0.4">
      <c r="A20" t="str">
        <f>[2]Tâches!$A19</f>
        <v>Tech T'es rien…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511D-786B-40B0-8D12-8D440C502A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Taches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2026-06-28T11:09:18Z</dcterms:modified>
</cp:coreProperties>
</file>